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10.10.9\contaduria\CONTABILIDAD\EJERCICIOS\CASA LUIS CHEMES S.A\EJERCICIO 32 (01-04-2026 AL 31-03-2027)\PRESTAMOS Y PLANES VIGENTES\"/>
    </mc:Choice>
  </mc:AlternateContent>
  <xr:revisionPtr revIDLastSave="0" documentId="13_ncr:1_{CFFC834E-A7D6-4D25-84D9-D404148F7271}" xr6:coauthVersionLast="47" xr6:coauthVersionMax="47" xr10:uidLastSave="{00000000-0000-0000-0000-000000000000}"/>
  <bookViews>
    <workbookView xWindow="-120" yWindow="-120" windowWidth="20730" windowHeight="11040" tabRatio="674" activeTab="2" xr2:uid="{00000000-000D-0000-FFFF-FFFF00000000}"/>
  </bookViews>
  <sheets>
    <sheet name="Inicio" sheetId="3" r:id="rId1"/>
    <sheet name="Seguimiento" sheetId="1" r:id="rId2"/>
    <sheet name="Cuotas" sheetId="2" r:id="rId3"/>
    <sheet name="Hoja1" sheetId="16" r:id="rId4"/>
    <sheet name="Detalle" sheetId="4" r:id="rId5"/>
    <sheet name="Hoja3" sheetId="15" r:id="rId6"/>
  </sheets>
  <definedNames>
    <definedName name="_xlnm._FilterDatabase" localSheetId="2" hidden="1">Cuotas!$A$1:$J$1868</definedName>
    <definedName name="_xlnm._FilterDatabase" localSheetId="4" hidden="1">Detalle!$A$1:$H$29</definedName>
    <definedName name="_xlnm._FilterDatabase" localSheetId="1" hidden="1">Seguimiento!$A$1:$I$43</definedName>
  </definedNames>
  <calcPr calcId="18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27" i="2" l="1"/>
  <c r="I1853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252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21" i="2"/>
  <c r="I216" i="2"/>
  <c r="I217" i="2"/>
  <c r="I218" i="2"/>
  <c r="I219" i="2"/>
  <c r="I220" i="2"/>
  <c r="I1648" i="2"/>
  <c r="I222" i="2"/>
  <c r="I223" i="2"/>
  <c r="I224" i="2"/>
  <c r="I225" i="2"/>
  <c r="I226" i="2"/>
  <c r="I1852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53" i="2"/>
  <c r="I245" i="2"/>
  <c r="I254" i="2"/>
  <c r="I256" i="2"/>
  <c r="I257" i="2"/>
  <c r="I249" i="2"/>
  <c r="I250" i="2"/>
  <c r="I251" i="2"/>
  <c r="I1470" i="2"/>
  <c r="I258" i="2"/>
  <c r="I259" i="2"/>
  <c r="I255" i="2"/>
  <c r="I260" i="2"/>
  <c r="I264" i="2"/>
  <c r="I1553" i="2"/>
  <c r="I244" i="2"/>
  <c r="I246" i="2"/>
  <c r="I261" i="2"/>
  <c r="I262" i="2"/>
  <c r="I263" i="2"/>
  <c r="I1601" i="2"/>
  <c r="I265" i="2"/>
  <c r="I266" i="2"/>
  <c r="I267" i="2"/>
  <c r="I476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1828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56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531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227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43" i="2"/>
  <c r="I532" i="2"/>
  <c r="I533" i="2"/>
  <c r="I534" i="2"/>
  <c r="I535" i="2"/>
  <c r="I536" i="2"/>
  <c r="I537" i="2"/>
  <c r="I538" i="2"/>
  <c r="I539" i="2"/>
  <c r="I540" i="2"/>
  <c r="I541" i="2"/>
  <c r="I542" i="2"/>
  <c r="I1684" i="2"/>
  <c r="I544" i="2"/>
  <c r="I545" i="2"/>
  <c r="I546" i="2"/>
  <c r="I547" i="2"/>
  <c r="I548" i="2"/>
  <c r="I549" i="2"/>
  <c r="I550" i="2"/>
  <c r="I551" i="2"/>
  <c r="I552" i="2"/>
  <c r="I553" i="2"/>
  <c r="I373" i="2"/>
  <c r="I555" i="2"/>
  <c r="I556" i="2"/>
  <c r="I557" i="2"/>
  <c r="I558" i="2"/>
  <c r="I559" i="2"/>
  <c r="I560" i="2"/>
  <c r="I561" i="2"/>
  <c r="I562" i="2"/>
  <c r="I554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1712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1695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268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307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247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65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21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626" i="2"/>
  <c r="I1685" i="2"/>
  <c r="I1686" i="2"/>
  <c r="I1687" i="2"/>
  <c r="I1688" i="2"/>
  <c r="I1689" i="2"/>
  <c r="I1690" i="2"/>
  <c r="I1691" i="2"/>
  <c r="I1692" i="2"/>
  <c r="I1693" i="2"/>
  <c r="I509" i="2"/>
  <c r="I1713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605" i="2"/>
  <c r="I1731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248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F728" i="2"/>
  <c r="I2" i="2"/>
  <c r="F1644" i="2"/>
  <c r="F1645" i="2"/>
  <c r="F1646" i="2"/>
  <c r="F1647" i="2"/>
  <c r="F1665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43" i="2"/>
  <c r="F727" i="2"/>
  <c r="F715" i="2"/>
  <c r="E38" i="2"/>
  <c r="E36" i="2"/>
  <c r="E725" i="2"/>
  <c r="F725" i="2" s="1"/>
  <c r="E713" i="2"/>
  <c r="F713" i="2" s="1"/>
  <c r="F1269" i="2"/>
  <c r="F1251" i="2"/>
  <c r="L3" i="1" l="1"/>
  <c r="J3" i="1" s="1"/>
  <c r="L4" i="1"/>
  <c r="J4" i="1" s="1"/>
  <c r="L5" i="1"/>
  <c r="J5" i="1" s="1"/>
  <c r="L6" i="1"/>
  <c r="J6" i="1" s="1"/>
  <c r="L7" i="1"/>
  <c r="J7" i="1" s="1"/>
  <c r="L8" i="1"/>
  <c r="J8" i="1" s="1"/>
  <c r="L9" i="1"/>
  <c r="J9" i="1" s="1"/>
  <c r="L10" i="1"/>
  <c r="J10" i="1" s="1"/>
  <c r="L11" i="1"/>
  <c r="J11" i="1" s="1"/>
  <c r="L12" i="1"/>
  <c r="J12" i="1" s="1"/>
  <c r="L13" i="1"/>
  <c r="J13" i="1" s="1"/>
  <c r="L14" i="1"/>
  <c r="J14" i="1" s="1"/>
  <c r="L15" i="1"/>
  <c r="J15" i="1" s="1"/>
  <c r="L16" i="1"/>
  <c r="J16" i="1" s="1"/>
  <c r="L17" i="1"/>
  <c r="J17" i="1" s="1"/>
  <c r="L18" i="1"/>
  <c r="J18" i="1" s="1"/>
  <c r="L19" i="1"/>
  <c r="J19" i="1" s="1"/>
  <c r="L20" i="1"/>
  <c r="J20" i="1" s="1"/>
  <c r="L21" i="1"/>
  <c r="J21" i="1" s="1"/>
  <c r="L22" i="1"/>
  <c r="J22" i="1" s="1"/>
  <c r="L23" i="1"/>
  <c r="J23" i="1" s="1"/>
  <c r="L24" i="1"/>
  <c r="J24" i="1" s="1"/>
  <c r="L25" i="1"/>
  <c r="J25" i="1" s="1"/>
  <c r="L26" i="1"/>
  <c r="J26" i="1" s="1"/>
  <c r="L27" i="1"/>
  <c r="J27" i="1" s="1"/>
  <c r="K27" i="1" s="1"/>
  <c r="L2" i="1"/>
  <c r="J2" i="1" s="1"/>
  <c r="F21" i="2"/>
  <c r="F46" i="2"/>
  <c r="F71" i="2"/>
  <c r="F106" i="2"/>
  <c r="F131" i="2"/>
  <c r="F155" i="2"/>
  <c r="F188" i="2"/>
  <c r="F211" i="2"/>
  <c r="F257" i="2"/>
  <c r="F271" i="2"/>
  <c r="F294" i="2"/>
  <c r="F327" i="2"/>
  <c r="F350" i="2"/>
  <c r="F390" i="2"/>
  <c r="F485" i="2"/>
  <c r="F506" i="2"/>
  <c r="F527" i="2"/>
  <c r="F561" i="2"/>
  <c r="F582" i="2"/>
  <c r="F613" i="2"/>
  <c r="F634" i="2"/>
  <c r="F666" i="2"/>
  <c r="F687" i="2"/>
  <c r="F717" i="2"/>
  <c r="F763" i="2"/>
  <c r="F784" i="2"/>
  <c r="F813" i="2"/>
  <c r="F834" i="2"/>
  <c r="F855" i="2"/>
  <c r="F884" i="2"/>
  <c r="F904" i="2"/>
  <c r="F924" i="2"/>
  <c r="F950" i="2"/>
  <c r="F968" i="2"/>
  <c r="F986" i="2"/>
  <c r="F1028" i="2"/>
  <c r="F1046" i="2"/>
  <c r="F1063" i="2"/>
  <c r="F1112" i="2"/>
  <c r="F1129" i="2"/>
  <c r="F1180" i="2"/>
  <c r="F1196" i="2"/>
  <c r="F1218" i="2"/>
  <c r="F1234" i="2"/>
  <c r="F1255" i="2"/>
  <c r="F1275" i="2"/>
  <c r="F1296" i="2"/>
  <c r="F1310" i="2"/>
  <c r="F1325" i="2"/>
  <c r="F1338" i="2"/>
  <c r="F1350" i="2"/>
  <c r="F1359" i="2"/>
  <c r="F1368" i="2"/>
  <c r="F1374" i="2"/>
  <c r="F1380" i="2"/>
  <c r="F1386" i="2"/>
  <c r="F1392" i="2"/>
  <c r="F1398" i="2"/>
  <c r="F1405" i="2"/>
  <c r="F1410" i="2"/>
  <c r="F1414" i="2"/>
  <c r="F1418" i="2"/>
  <c r="F1422" i="2"/>
  <c r="F1426" i="2"/>
  <c r="F1430" i="2"/>
  <c r="F1433" i="2"/>
  <c r="F1436" i="2"/>
  <c r="F1439" i="2"/>
  <c r="F1442" i="2"/>
  <c r="F1445" i="2"/>
  <c r="F1448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319" i="2"/>
  <c r="E723" i="2"/>
  <c r="F723" i="2" s="1"/>
  <c r="E711" i="2"/>
  <c r="F711" i="2" s="1"/>
  <c r="E467" i="2"/>
  <c r="F467" i="2" s="1"/>
  <c r="F174" i="2"/>
  <c r="E243" i="2" l="1"/>
  <c r="F243" i="2" s="1"/>
  <c r="E311" i="2"/>
  <c r="F311" i="2" s="1"/>
  <c r="E278" i="2"/>
  <c r="F278" i="2" s="1"/>
  <c r="E104" i="2"/>
  <c r="F128" i="2"/>
  <c r="E1265" i="2"/>
  <c r="F1265" i="2" s="1"/>
  <c r="E708" i="2"/>
  <c r="F708" i="2" s="1"/>
  <c r="E720" i="2"/>
  <c r="F720" i="2" s="1"/>
  <c r="E464" i="2"/>
  <c r="F464" i="2" s="1"/>
  <c r="E454" i="2"/>
  <c r="F454" i="2" s="1"/>
  <c r="E1211" i="2"/>
  <c r="F1211" i="2" s="1"/>
  <c r="E90" i="2"/>
  <c r="F90" i="2" s="1"/>
  <c r="E91" i="2"/>
  <c r="F91" i="2" s="1"/>
  <c r="E8" i="2"/>
  <c r="F8" i="2" s="1"/>
  <c r="E7" i="2"/>
  <c r="F7" i="2" s="1"/>
  <c r="E1013" i="2"/>
  <c r="F1013" i="2" s="1"/>
  <c r="E1012" i="2"/>
  <c r="E1093" i="2"/>
  <c r="E1092" i="2"/>
  <c r="E255" i="2"/>
  <c r="E206" i="2"/>
  <c r="E340" i="2"/>
  <c r="F340" i="2" s="1"/>
  <c r="F453" i="2"/>
  <c r="D1070" i="2"/>
  <c r="E1140" i="2" l="1"/>
  <c r="F1140" i="2" s="1"/>
  <c r="E1141" i="2"/>
  <c r="F1141" i="2" s="1"/>
  <c r="E1142" i="2"/>
  <c r="F1142" i="2" s="1"/>
  <c r="E1143" i="2"/>
  <c r="F1143" i="2" s="1"/>
  <c r="E1144" i="2"/>
  <c r="F1144" i="2" s="1"/>
  <c r="E1145" i="2"/>
  <c r="F1145" i="2" s="1"/>
  <c r="E1146" i="2"/>
  <c r="F1146" i="2" s="1"/>
  <c r="E1147" i="2"/>
  <c r="F1147" i="2" s="1"/>
  <c r="E1148" i="2"/>
  <c r="F1148" i="2" s="1"/>
  <c r="E1149" i="2"/>
  <c r="F1149" i="2" s="1"/>
  <c r="E1150" i="2"/>
  <c r="F1150" i="2" s="1"/>
  <c r="E1151" i="2"/>
  <c r="F1151" i="2" s="1"/>
  <c r="E1152" i="2"/>
  <c r="F1152" i="2" s="1"/>
  <c r="E1153" i="2"/>
  <c r="F1153" i="2" s="1"/>
  <c r="E1154" i="2"/>
  <c r="F1154" i="2" s="1"/>
  <c r="E1155" i="2"/>
  <c r="F1155" i="2" s="1"/>
  <c r="E1156" i="2"/>
  <c r="F1156" i="2" s="1"/>
  <c r="E1157" i="2"/>
  <c r="F1157" i="2" s="1"/>
  <c r="E1158" i="2"/>
  <c r="F1158" i="2" s="1"/>
  <c r="E1159" i="2"/>
  <c r="F1159" i="2" s="1"/>
  <c r="E1160" i="2"/>
  <c r="F1160" i="2" s="1"/>
  <c r="E1161" i="2"/>
  <c r="F1161" i="2" s="1"/>
  <c r="E1162" i="2"/>
  <c r="F1162" i="2" s="1"/>
  <c r="E1163" i="2"/>
  <c r="F1163" i="2" s="1"/>
  <c r="E1164" i="2"/>
  <c r="F1164" i="2" s="1"/>
  <c r="E1165" i="2"/>
  <c r="F1165" i="2" s="1"/>
  <c r="E1166" i="2"/>
  <c r="F1166" i="2" s="1"/>
  <c r="E1167" i="2"/>
  <c r="F1167" i="2" s="1"/>
  <c r="E1168" i="2"/>
  <c r="F1168" i="2" s="1"/>
  <c r="E1169" i="2"/>
  <c r="F1169" i="2" s="1"/>
  <c r="E1170" i="2"/>
  <c r="F1170" i="2" s="1"/>
  <c r="E1171" i="2"/>
  <c r="F1171" i="2" s="1"/>
  <c r="E1172" i="2"/>
  <c r="F1172" i="2" s="1"/>
  <c r="E1173" i="2"/>
  <c r="F1173" i="2" s="1"/>
  <c r="E14" i="2"/>
  <c r="F14" i="2" s="1"/>
  <c r="E39" i="2"/>
  <c r="F39" i="2" s="1"/>
  <c r="E64" i="2"/>
  <c r="F64" i="2" s="1"/>
  <c r="E101" i="2"/>
  <c r="F101" i="2" s="1"/>
  <c r="E1548" i="2"/>
  <c r="F1548" i="2" s="1"/>
  <c r="E149" i="2"/>
  <c r="F149" i="2" s="1"/>
  <c r="E181" i="2"/>
  <c r="F181" i="2" s="1"/>
  <c r="E205" i="2"/>
  <c r="F205" i="2" s="1"/>
  <c r="E242" i="2"/>
  <c r="F242" i="2" s="1"/>
  <c r="E265" i="2"/>
  <c r="F265" i="2" s="1"/>
  <c r="E288" i="2"/>
  <c r="F288" i="2" s="1"/>
  <c r="E321" i="2"/>
  <c r="F321" i="2" s="1"/>
  <c r="E344" i="2"/>
  <c r="F344" i="2" s="1"/>
  <c r="E384" i="2"/>
  <c r="F384" i="2" s="1"/>
  <c r="E405" i="2"/>
  <c r="F405" i="2" s="1"/>
  <c r="E500" i="2"/>
  <c r="F500" i="2" s="1"/>
  <c r="E521" i="2"/>
  <c r="F521" i="2" s="1"/>
  <c r="E555" i="2"/>
  <c r="F555" i="2" s="1"/>
  <c r="E576" i="2"/>
  <c r="F576" i="2" s="1"/>
  <c r="E607" i="2"/>
  <c r="F607" i="2" s="1"/>
  <c r="E628" i="2"/>
  <c r="F628" i="2" s="1"/>
  <c r="E660" i="2"/>
  <c r="F660" i="2" s="1"/>
  <c r="E681" i="2"/>
  <c r="F681" i="2" s="1"/>
  <c r="E702" i="2"/>
  <c r="F702" i="2" s="1"/>
  <c r="E757" i="2"/>
  <c r="F757" i="2" s="1"/>
  <c r="E778" i="2"/>
  <c r="F778" i="2" s="1"/>
  <c r="E799" i="2"/>
  <c r="F799" i="2" s="1"/>
  <c r="E828" i="2"/>
  <c r="F828" i="2" s="1"/>
  <c r="E849" i="2"/>
  <c r="F849" i="2" s="1"/>
  <c r="E878" i="2"/>
  <c r="F878" i="2" s="1"/>
  <c r="E899" i="2"/>
  <c r="F899" i="2" s="1"/>
  <c r="E919" i="2"/>
  <c r="F919" i="2" s="1"/>
  <c r="E945" i="2"/>
  <c r="F945" i="2" s="1"/>
  <c r="E963" i="2"/>
  <c r="F963" i="2" s="1"/>
  <c r="E981" i="2"/>
  <c r="F981" i="2" s="1"/>
  <c r="E1023" i="2"/>
  <c r="F1023" i="2" s="1"/>
  <c r="E1041" i="2"/>
  <c r="F1041" i="2" s="1"/>
  <c r="E1139" i="2"/>
  <c r="F1139" i="2" s="1"/>
  <c r="E1076" i="2"/>
  <c r="F1076" i="2" s="1"/>
  <c r="E1077" i="2"/>
  <c r="F1077" i="2" s="1"/>
  <c r="E1078" i="2"/>
  <c r="F1078" i="2" s="1"/>
  <c r="E1079" i="2"/>
  <c r="F1079" i="2" s="1"/>
  <c r="E1080" i="2"/>
  <c r="F1080" i="2" s="1"/>
  <c r="E1081" i="2"/>
  <c r="F1081" i="2" s="1"/>
  <c r="E1082" i="2"/>
  <c r="F1082" i="2" s="1"/>
  <c r="E1083" i="2"/>
  <c r="F1083" i="2" s="1"/>
  <c r="E1084" i="2"/>
  <c r="F1084" i="2" s="1"/>
  <c r="E1085" i="2"/>
  <c r="F1085" i="2" s="1"/>
  <c r="E1086" i="2"/>
  <c r="F1086" i="2" s="1"/>
  <c r="E1087" i="2"/>
  <c r="F1087" i="2" s="1"/>
  <c r="E1088" i="2"/>
  <c r="F1088" i="2" s="1"/>
  <c r="E1089" i="2"/>
  <c r="F1089" i="2" s="1"/>
  <c r="E1090" i="2"/>
  <c r="F1090" i="2" s="1"/>
  <c r="E1091" i="2"/>
  <c r="F1091" i="2" s="1"/>
  <c r="F1092" i="2"/>
  <c r="F1093" i="2"/>
  <c r="E1094" i="2"/>
  <c r="F1094" i="2" s="1"/>
  <c r="E1095" i="2"/>
  <c r="F1095" i="2" s="1"/>
  <c r="E1096" i="2"/>
  <c r="F1096" i="2" s="1"/>
  <c r="E1097" i="2"/>
  <c r="F1097" i="2" s="1"/>
  <c r="E1098" i="2"/>
  <c r="F1098" i="2" s="1"/>
  <c r="E20" i="2"/>
  <c r="F20" i="2" s="1"/>
  <c r="E44" i="2"/>
  <c r="F44" i="2" s="1"/>
  <c r="E70" i="2"/>
  <c r="F70" i="2" s="1"/>
  <c r="E1465" i="2"/>
  <c r="F1465" i="2" s="1"/>
  <c r="E130" i="2"/>
  <c r="F130" i="2" s="1"/>
  <c r="E154" i="2"/>
  <c r="F154" i="2" s="1"/>
  <c r="E187" i="2"/>
  <c r="F187" i="2" s="1"/>
  <c r="E210" i="2"/>
  <c r="F210" i="2" s="1"/>
  <c r="E256" i="2"/>
  <c r="F256" i="2" s="1"/>
  <c r="E270" i="2"/>
  <c r="F270" i="2" s="1"/>
  <c r="E293" i="2"/>
  <c r="F293" i="2" s="1"/>
  <c r="E326" i="2"/>
  <c r="F326" i="2" s="1"/>
  <c r="E349" i="2"/>
  <c r="F349" i="2" s="1"/>
  <c r="E389" i="2"/>
  <c r="F389" i="2" s="1"/>
  <c r="E484" i="2"/>
  <c r="F484" i="2" s="1"/>
  <c r="E505" i="2"/>
  <c r="F505" i="2" s="1"/>
  <c r="E526" i="2"/>
  <c r="F526" i="2" s="1"/>
  <c r="E560" i="2"/>
  <c r="F560" i="2" s="1"/>
  <c r="E581" i="2"/>
  <c r="F581" i="2" s="1"/>
  <c r="E612" i="2"/>
  <c r="F612" i="2" s="1"/>
  <c r="E633" i="2"/>
  <c r="F633" i="2" s="1"/>
  <c r="E665" i="2"/>
  <c r="F665" i="2" s="1"/>
  <c r="E686" i="2"/>
  <c r="F686" i="2" s="1"/>
  <c r="E707" i="2"/>
  <c r="F707" i="2" s="1"/>
  <c r="E762" i="2"/>
  <c r="F762" i="2" s="1"/>
  <c r="E783" i="2"/>
  <c r="F783" i="2" s="1"/>
  <c r="E812" i="2"/>
  <c r="F812" i="2" s="1"/>
  <c r="E833" i="2"/>
  <c r="F833" i="2" s="1"/>
  <c r="E854" i="2"/>
  <c r="F854" i="2" s="1"/>
  <c r="E883" i="2"/>
  <c r="F883" i="2" s="1"/>
  <c r="E903" i="2"/>
  <c r="F903" i="2" s="1"/>
  <c r="E923" i="2"/>
  <c r="F923" i="2" s="1"/>
  <c r="E949" i="2"/>
  <c r="F949" i="2" s="1"/>
  <c r="E967" i="2"/>
  <c r="F967" i="2" s="1"/>
  <c r="E985" i="2"/>
  <c r="F985" i="2" s="1"/>
  <c r="E1027" i="2"/>
  <c r="F1027" i="2" s="1"/>
  <c r="E1045" i="2"/>
  <c r="F1045" i="2" s="1"/>
  <c r="E1062" i="2"/>
  <c r="F1062" i="2" s="1"/>
  <c r="E1111" i="2"/>
  <c r="F1111" i="2" s="1"/>
  <c r="E1128" i="2"/>
  <c r="F1128" i="2" s="1"/>
  <c r="E1075" i="2"/>
  <c r="F1075" i="2" s="1"/>
  <c r="F1012" i="2"/>
  <c r="F99" i="2"/>
  <c r="F62" i="2"/>
  <c r="E742" i="2"/>
  <c r="F742" i="2" s="1"/>
  <c r="E741" i="2"/>
  <c r="F741" i="2" s="1"/>
  <c r="E740" i="2"/>
  <c r="F740" i="2" s="1"/>
  <c r="E739" i="2"/>
  <c r="F739" i="2" s="1"/>
  <c r="E738" i="2"/>
  <c r="F738" i="2" s="1"/>
  <c r="E69" i="2" l="1"/>
  <c r="E709" i="2"/>
  <c r="E710" i="2"/>
  <c r="E712" i="2"/>
  <c r="E714" i="2"/>
  <c r="E716" i="2"/>
  <c r="E19" i="2"/>
  <c r="E42" i="2" l="1"/>
  <c r="E67" i="2"/>
  <c r="E152" i="2"/>
  <c r="E168" i="2"/>
  <c r="E169" i="2"/>
  <c r="E170" i="2"/>
  <c r="E171" i="2"/>
  <c r="E172" i="2"/>
  <c r="E173" i="2"/>
  <c r="E175" i="2"/>
  <c r="E176" i="2"/>
  <c r="E185" i="2"/>
  <c r="E208" i="2"/>
  <c r="E245" i="2"/>
  <c r="E476" i="2"/>
  <c r="E291" i="2"/>
  <c r="E324" i="2"/>
  <c r="E347" i="2"/>
  <c r="E387" i="2"/>
  <c r="E482" i="2"/>
  <c r="E503" i="2"/>
  <c r="E524" i="2"/>
  <c r="E558" i="2"/>
  <c r="E579" i="2"/>
  <c r="E595" i="2"/>
  <c r="E610" i="2"/>
  <c r="E631" i="2"/>
  <c r="E663" i="2"/>
  <c r="E684" i="2"/>
  <c r="E705" i="2"/>
  <c r="E760" i="2"/>
  <c r="E781" i="2"/>
  <c r="E802" i="2"/>
  <c r="E831" i="2"/>
  <c r="E852" i="2"/>
  <c r="E881" i="2"/>
  <c r="E902" i="2"/>
  <c r="E922" i="2"/>
  <c r="E948" i="2"/>
  <c r="E966" i="2"/>
  <c r="E984" i="2"/>
  <c r="E1026" i="2"/>
  <c r="E1044" i="2"/>
  <c r="E1061" i="2"/>
  <c r="E1110" i="2"/>
  <c r="E1127" i="2"/>
  <c r="E1179" i="2"/>
  <c r="E1195" i="2"/>
  <c r="E1217" i="2"/>
  <c r="E1233" i="2"/>
  <c r="E1254" i="2"/>
  <c r="E1274" i="2"/>
  <c r="E1295" i="2"/>
  <c r="E1309" i="2"/>
  <c r="E1324" i="2"/>
  <c r="E1337" i="2"/>
  <c r="E1349" i="2"/>
  <c r="E17" i="2"/>
  <c r="E49" i="2"/>
  <c r="E74" i="2"/>
  <c r="E110" i="2"/>
  <c r="E134" i="2"/>
  <c r="E158" i="2"/>
  <c r="E190" i="2"/>
  <c r="E213" i="2"/>
  <c r="E250" i="2"/>
  <c r="E273" i="2"/>
  <c r="E296" i="2"/>
  <c r="E329" i="2"/>
  <c r="E352" i="2"/>
  <c r="E392" i="2"/>
  <c r="E487" i="2"/>
  <c r="E508" i="2"/>
  <c r="E542" i="2"/>
  <c r="E554" i="2"/>
  <c r="E584" i="2"/>
  <c r="E588" i="2"/>
  <c r="E589" i="2"/>
  <c r="E590" i="2"/>
  <c r="E591" i="2"/>
  <c r="E592" i="2"/>
  <c r="E593" i="2"/>
  <c r="E594" i="2"/>
  <c r="E596" i="2"/>
  <c r="E597" i="2"/>
  <c r="E615" i="2"/>
  <c r="E636" i="2"/>
  <c r="E668" i="2"/>
  <c r="E689" i="2"/>
  <c r="E719" i="2"/>
  <c r="E765" i="2"/>
  <c r="E786" i="2"/>
  <c r="E815" i="2"/>
  <c r="E836" i="2"/>
  <c r="E857" i="2"/>
  <c r="E886" i="2"/>
  <c r="E906" i="2"/>
  <c r="E926" i="2"/>
  <c r="E952" i="2"/>
  <c r="E970" i="2"/>
  <c r="E988" i="2"/>
  <c r="E1030" i="2"/>
  <c r="E1048" i="2"/>
  <c r="E1065" i="2"/>
  <c r="E1114" i="2"/>
  <c r="E1131" i="2"/>
  <c r="E1182" i="2"/>
  <c r="E1198" i="2"/>
  <c r="E1220" i="2"/>
  <c r="E1236" i="2"/>
  <c r="E1257" i="2"/>
  <c r="E1277" i="2"/>
  <c r="E1298" i="2"/>
  <c r="E1312" i="2"/>
  <c r="E1327" i="2"/>
  <c r="E1340" i="2"/>
  <c r="E24" i="2"/>
  <c r="E1335" i="2" l="1"/>
  <c r="E1322" i="2"/>
  <c r="E1306" i="2"/>
  <c r="E1291" i="2"/>
  <c r="E1270" i="2"/>
  <c r="E1245" i="2"/>
  <c r="E1229" i="2"/>
  <c r="E1207" i="2"/>
  <c r="E1191" i="2"/>
  <c r="E1175" i="2"/>
  <c r="E1123" i="2"/>
  <c r="E1106" i="2"/>
  <c r="E1057" i="2"/>
  <c r="E1039" i="2"/>
  <c r="E1021" i="2"/>
  <c r="E979" i="2"/>
  <c r="E961" i="2"/>
  <c r="E943" i="2"/>
  <c r="E917" i="2"/>
  <c r="E897" i="2"/>
  <c r="E876" i="2"/>
  <c r="E847" i="2"/>
  <c r="E826" i="2"/>
  <c r="E797" i="2"/>
  <c r="E776" i="2"/>
  <c r="E755" i="2"/>
  <c r="E748" i="2"/>
  <c r="E700" i="2"/>
  <c r="E679" i="2"/>
  <c r="E658" i="2"/>
  <c r="E657" i="2"/>
  <c r="E655" i="2"/>
  <c r="E654" i="2"/>
  <c r="E653" i="2"/>
  <c r="E652" i="2"/>
  <c r="E651" i="2"/>
  <c r="E650" i="2"/>
  <c r="E649" i="2"/>
  <c r="E648" i="2"/>
  <c r="E647" i="2"/>
  <c r="E1695" i="2"/>
  <c r="E1712" i="2"/>
  <c r="E574" i="2"/>
  <c r="E553" i="2"/>
  <c r="E519" i="2"/>
  <c r="E498" i="2"/>
  <c r="E403" i="2"/>
  <c r="E381" i="2"/>
  <c r="E341" i="2"/>
  <c r="E318" i="2"/>
  <c r="E285" i="2"/>
  <c r="E262" i="2"/>
  <c r="E225" i="2"/>
  <c r="E202" i="2"/>
  <c r="E179" i="2"/>
  <c r="E146" i="2"/>
  <c r="E122" i="2"/>
  <c r="E98" i="2"/>
  <c r="E51" i="2"/>
  <c r="E26" i="2"/>
</calcChain>
</file>

<file path=xl/sharedStrings.xml><?xml version="1.0" encoding="utf-8"?>
<sst xmlns="http://schemas.openxmlformats.org/spreadsheetml/2006/main" count="2230" uniqueCount="135">
  <si>
    <t>A: ID del Préstamo</t>
  </si>
  <si>
    <t>B: Fecha de Inicio</t>
  </si>
  <si>
    <t>C: Plazo (meses)</t>
  </si>
  <si>
    <t>D: Capital</t>
  </si>
  <si>
    <t>E: TNA (Tasa Nominal Anual)</t>
  </si>
  <si>
    <t>F: TEA (Tasa Efectiva Anual)</t>
  </si>
  <si>
    <t>G: IVA</t>
  </si>
  <si>
    <t>H: Tipo de Amortización</t>
  </si>
  <si>
    <t>B: Número de Cuota</t>
  </si>
  <si>
    <t>C: Capital</t>
  </si>
  <si>
    <t>D: Intereses</t>
  </si>
  <si>
    <t>E: IVA</t>
  </si>
  <si>
    <t>F: Total a Pagar</t>
  </si>
  <si>
    <t>G: Fecha de Vencimiento</t>
  </si>
  <si>
    <t>Entidad</t>
  </si>
  <si>
    <t>Proximo vencimiento</t>
  </si>
  <si>
    <t>H:Entidad</t>
  </si>
  <si>
    <r>
      <t>A</t>
    </r>
    <r>
      <rPr>
        <b/>
        <sz val="11"/>
        <color theme="1"/>
        <rFont val="Calibri"/>
        <family val="2"/>
        <scheme val="minor"/>
      </rPr>
      <t>: ID del préstamo</t>
    </r>
  </si>
  <si>
    <r>
      <t>B</t>
    </r>
    <r>
      <rPr>
        <b/>
        <sz val="11"/>
        <color theme="1"/>
        <rFont val="Calibri"/>
        <family val="2"/>
        <scheme val="minor"/>
      </rPr>
      <t>: Entidad</t>
    </r>
  </si>
  <si>
    <r>
      <t>C</t>
    </r>
    <r>
      <rPr>
        <b/>
        <sz val="11"/>
        <color theme="1"/>
        <rFont val="Calibri"/>
        <family val="2"/>
        <scheme val="minor"/>
      </rPr>
      <t>: Capital</t>
    </r>
  </si>
  <si>
    <r>
      <t>D</t>
    </r>
    <r>
      <rPr>
        <b/>
        <sz val="11"/>
        <color theme="1"/>
        <rFont val="Calibri"/>
        <family val="2"/>
        <scheme val="minor"/>
      </rPr>
      <t>: Saldo capital pendiente</t>
    </r>
  </si>
  <si>
    <r>
      <t>E</t>
    </r>
    <r>
      <rPr>
        <b/>
        <sz val="11"/>
        <color theme="1"/>
        <rFont val="Calibri"/>
        <family val="2"/>
        <scheme val="minor"/>
      </rPr>
      <t>: Plazo total de cuotas</t>
    </r>
  </si>
  <si>
    <r>
      <t>F</t>
    </r>
    <r>
      <rPr>
        <b/>
        <sz val="11"/>
        <color theme="1"/>
        <rFont val="Calibri"/>
        <family val="2"/>
        <scheme val="minor"/>
      </rPr>
      <t>: Intereses pendientes</t>
    </r>
  </si>
  <si>
    <r>
      <t>G</t>
    </r>
    <r>
      <rPr>
        <b/>
        <sz val="11"/>
        <color theme="1"/>
        <rFont val="Calibri"/>
        <family val="2"/>
        <scheme val="minor"/>
      </rPr>
      <t>: Cuotas pendientes</t>
    </r>
  </si>
  <si>
    <t>BANCO SANTA FE</t>
  </si>
  <si>
    <t>Frances</t>
  </si>
  <si>
    <t>BANCO GALICIA</t>
  </si>
  <si>
    <t>BANCO NACION</t>
  </si>
  <si>
    <t>Aleman</t>
  </si>
  <si>
    <t>BANCO HSBC</t>
  </si>
  <si>
    <t>BANCO BBVA</t>
  </si>
  <si>
    <t>BANCO BICE</t>
  </si>
  <si>
    <t>BANCO SANTANDER RIO</t>
  </si>
  <si>
    <t>BANCO CREDICOOP</t>
  </si>
  <si>
    <t>BANCO FRANCES</t>
  </si>
  <si>
    <t>BANCO CIUDAD</t>
  </si>
  <si>
    <t>BANCO ICBC</t>
  </si>
  <si>
    <t>Suma de C: Capital</t>
  </si>
  <si>
    <t>Cuenta de B: Número de Cuota</t>
  </si>
  <si>
    <t>INT + IVA</t>
  </si>
  <si>
    <t xml:space="preserve">NETO </t>
  </si>
  <si>
    <t>IVA 10,5</t>
  </si>
  <si>
    <t>PERCEP 1,5</t>
  </si>
  <si>
    <t>NETO</t>
  </si>
  <si>
    <t>IVA</t>
  </si>
  <si>
    <t>PERCEP</t>
  </si>
  <si>
    <t>SE CALCULA SOBRE S/NETO</t>
  </si>
  <si>
    <t>1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</si>
  <si>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</si>
  <si>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</si>
  <si>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</si>
  <si>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</si>
  <si>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</si>
  <si>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</si>
  <si>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</si>
  <si>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</si>
  <si>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</si>
  <si>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</si>
  <si>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</si>
  <si>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</si>
  <si>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</si>
  <si>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</si>
  <si>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</si>
  <si>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</si>
  <si>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</si>
  <si>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</si>
  <si>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</si>
  <si>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</si>
  <si>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</si>
  <si>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</si>
  <si>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</si>
  <si>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</si>
  <si>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</si>
  <si>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</si>
  <si>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</si>
  <si>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</si>
  <si>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</si>
  <si>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</si>
  <si>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</si>
  <si>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</si>
  <si>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</si>
  <si>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</si>
  <si>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</si>
  <si>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</si>
  <si>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</si>
  <si>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</si>
  <si>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</si>
  <si>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</si>
  <si>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</si>
  <si>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</si>
  <si>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</si>
  <si>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</si>
  <si>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</si>
  <si>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</si>
  <si>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</si>
  <si>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</si>
  <si>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</si>
  <si>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</si>
  <si>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</si>
  <si>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</si>
  <si>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</si>
  <si>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</si>
  <si>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</si>
  <si>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</si>
  <si>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</si>
  <si>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</si>
  <si>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</si>
  <si>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</si>
  <si>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</si>
  <si>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</si>
  <si>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</si>
  <si>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</si>
  <si>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</si>
  <si>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</si>
  <si>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</si>
  <si>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</si>
  <si>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</si>
  <si>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</si>
  <si>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</si>
  <si>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</si>
  <si>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</si>
  <si>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</si>
  <si>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</si>
  <si>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</si>
  <si>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</si>
  <si>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</si>
  <si>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</si>
  <si>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</si>
  <si>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</si>
  <si>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CANCELADO</t>
  </si>
  <si>
    <t>Restructurado</t>
  </si>
  <si>
    <t>Estado</t>
  </si>
  <si>
    <t>(en blanco)</t>
  </si>
  <si>
    <t>Pendiente</t>
  </si>
  <si>
    <t>GALICIA 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</si>
</sst>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8" formatCode="&quot;$&quot;\ #,##0.00;[Red]\-&quot;$&quot;\ #,##0.00"/>
    <numFmt numFmtId="43" formatCode="_-* #,##0.00_-;\-* #,##0.00_-;_-* &quot;-&quot;??_-;_-@_-"/>
    <numFmt numFmtId="164" formatCode="_-&quot;$&quot;* #,##0.00_-;\-&quot;$&quot;* #,##0.00_-;_-&quot;$&quot;* &quot;-&quot;??_-;_-@_-"/>
    <numFmt numFmtId="165" formatCode="_-* #,##0.0000000000000_-;\-* #,##0.0000000000000_-;_-* &quot;-&quot;??_-;_-@_-"/>
    <numFmt numFmtId="166" formatCode="_-* #,##0.000000_-;\-* #,##0.000000_-;_-* &quot;-&quot;??_-;_-@_-"/>
    <numFmt numFmtId="167" formatCode="&quot;$&quot;#,##0.00_);&quot;$&quot;\ \-#,##0.00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 Unicode MS"/>
      <family val="2"/>
    </font>
    <font>
      <b/>
      <sz val="12"/>
      <color rgb="FF000000"/>
      <name val="Georgia"/>
      <family val="1"/>
    </font>
    <font>
      <sz val="10"/>
      <color indexed="8"/>
      <name val="Helvetica Neue"/>
      <family val="2"/>
    </font>
    <font>
      <sz val="11"/>
      <name val="Arial"/>
      <family val="2"/>
      <charset val="1"/>
    </font>
    <font>
      <sz val="11"/>
      <color rgb="FF1212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/>
      <top/>
      <bottom style="hair">
        <color indexed="23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2" applyNumberFormat="0" applyFill="0" applyProtection="0">
      <alignment horizontal="left" vertical="center" wrapText="1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</cellStyleXfs>
  <cellXfs count="42">
    <xf numFmtId="0" fontId="0" fillId="0" borderId="0" xfId="0"/>
    <xf numFmtId="43" fontId="0" fillId="0" borderId="0" xfId="1" applyFont="1"/>
    <xf numFmtId="0" fontId="0" fillId="0" borderId="0" xfId="1" applyNumberFormat="1" applyFont="1"/>
    <xf numFmtId="0" fontId="2" fillId="0" borderId="0" xfId="0" applyFont="1"/>
    <xf numFmtId="43" fontId="2" fillId="0" borderId="0" xfId="1" applyFont="1"/>
    <xf numFmtId="0" fontId="0" fillId="2" borderId="0" xfId="0" applyFill="1" applyProtection="1">
      <protection locked="0"/>
    </xf>
    <xf numFmtId="14" fontId="0" fillId="0" borderId="0" xfId="0" applyNumberFormat="1"/>
    <xf numFmtId="14" fontId="0" fillId="0" borderId="0" xfId="1" applyNumberFormat="1" applyFont="1"/>
    <xf numFmtId="164" fontId="0" fillId="0" borderId="0" xfId="2" applyFont="1"/>
    <xf numFmtId="0" fontId="0" fillId="3" borderId="0" xfId="1" applyNumberFormat="1" applyFont="1" applyFill="1"/>
    <xf numFmtId="43" fontId="0" fillId="3" borderId="0" xfId="1" applyFont="1" applyFill="1"/>
    <xf numFmtId="14" fontId="0" fillId="3" borderId="0" xfId="1" applyNumberFormat="1" applyFont="1" applyFill="1"/>
    <xf numFmtId="0" fontId="0" fillId="0" borderId="0" xfId="0" pivotButton="1"/>
    <xf numFmtId="164" fontId="0" fillId="3" borderId="0" xfId="2" applyFont="1" applyFill="1"/>
    <xf numFmtId="0" fontId="2" fillId="0" borderId="0" xfId="1" applyNumberFormat="1" applyFont="1"/>
    <xf numFmtId="43" fontId="0" fillId="0" borderId="0" xfId="1" applyFont="1" applyFill="1"/>
    <xf numFmtId="0" fontId="3" fillId="0" borderId="0" xfId="0" applyFont="1"/>
    <xf numFmtId="43" fontId="3" fillId="0" borderId="0" xfId="1" applyFont="1" applyBorder="1"/>
    <xf numFmtId="43" fontId="0" fillId="0" borderId="0" xfId="1" applyFont="1" applyBorder="1"/>
    <xf numFmtId="14" fontId="0" fillId="3" borderId="0" xfId="0" applyNumberFormat="1" applyFill="1"/>
    <xf numFmtId="165" fontId="0" fillId="3" borderId="0" xfId="1" applyNumberFormat="1" applyFont="1" applyFill="1"/>
    <xf numFmtId="164" fontId="2" fillId="0" borderId="0" xfId="2" applyFont="1"/>
    <xf numFmtId="166" fontId="0" fillId="0" borderId="0" xfId="1" applyNumberFormat="1" applyFont="1"/>
    <xf numFmtId="9" fontId="0" fillId="0" borderId="0" xfId="4" applyFont="1"/>
    <xf numFmtId="167" fontId="5" fillId="0" borderId="1" xfId="0" applyNumberFormat="1" applyFont="1" applyBorder="1" applyAlignment="1">
      <alignment horizontal="left" vertical="top"/>
    </xf>
    <xf numFmtId="43" fontId="0" fillId="0" borderId="0" xfId="0" applyNumberFormat="1"/>
    <xf numFmtId="8" fontId="6" fillId="0" borderId="1" xfId="5" applyNumberFormat="1" applyFill="1" applyBorder="1" applyAlignment="1" applyProtection="1">
      <alignment horizontal="left" vertical="center"/>
      <protection locked="0"/>
    </xf>
    <xf numFmtId="43" fontId="0" fillId="0" borderId="0" xfId="6" applyFont="1"/>
    <xf numFmtId="43" fontId="0" fillId="0" borderId="0" xfId="7" applyFont="1"/>
    <xf numFmtId="43" fontId="0" fillId="0" borderId="0" xfId="8" applyFont="1"/>
    <xf numFmtId="4" fontId="0" fillId="0" borderId="0" xfId="0" applyNumberFormat="1"/>
    <xf numFmtId="0" fontId="7" fillId="0" borderId="0" xfId="0" applyFont="1"/>
    <xf numFmtId="0" fontId="0" fillId="5" borderId="0" xfId="1" applyNumberFormat="1" applyFont="1" applyFill="1"/>
    <xf numFmtId="43" fontId="0" fillId="5" borderId="0" xfId="6" applyFont="1" applyFill="1"/>
    <xf numFmtId="164" fontId="0" fillId="5" borderId="0" xfId="2" applyFont="1" applyFill="1"/>
    <xf numFmtId="14" fontId="0" fillId="5" borderId="0" xfId="1" applyNumberFormat="1" applyFont="1" applyFill="1"/>
    <xf numFmtId="43" fontId="0" fillId="5" borderId="0" xfId="1" applyFont="1" applyFill="1"/>
    <xf numFmtId="43" fontId="0" fillId="5" borderId="0" xfId="7" applyFont="1" applyFill="1"/>
    <xf numFmtId="14" fontId="2" fillId="0" borderId="0" xfId="0" applyNumberFormat="1" applyFont="1"/>
    <xf numFmtId="164" fontId="0" fillId="4" borderId="0" xfId="2" applyFont="1" applyFill="1"/>
    <xf numFmtId="164" fontId="0" fillId="0" borderId="0" xfId="2" applyFont="1" applyFill="1"/>
    <xf numFmtId="0" fontId="0" fillId="4" borderId="0" xfId="0" applyFill="1"/>
  </cellXfs>
  <cellStyles count="10">
    <cellStyle name="Celdas de tabla" xfId="5" xr:uid="{9AF3E049-7DF5-4FE0-B31C-3DA65590AB30}"/>
    <cellStyle name="Millares" xfId="1" builtinId="3"/>
    <cellStyle name="Millares 2" xfId="3" xr:uid="{00000000-0005-0000-0000-000001000000}"/>
    <cellStyle name="Millares 3" xfId="6" xr:uid="{C495EE81-4BDF-4756-89C0-509E8E5648BE}"/>
    <cellStyle name="Millares 4" xfId="7" xr:uid="{776FA657-DE9F-4E45-B632-C7691FDA8F87}"/>
    <cellStyle name="Millares 5" xfId="8" xr:uid="{0E52216E-6C25-4A2A-AAC2-5B7181988FC9}"/>
    <cellStyle name="Moneda" xfId="2" builtinId="4"/>
    <cellStyle name="Normal" xfId="0" builtinId="0"/>
    <cellStyle name="Normal 2" xfId="9" xr:uid="{26B4758A-02A9-48E8-918E-1AECE76EFD6A}"/>
    <cellStyle name="Porcentaje" xfId="4" builtinId="5"/>
  </cellStyles>
  <dxfs count="9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0EE9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0EE9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0EE9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0EE9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0EE9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0EE9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0EE9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0EE9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0EE9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0EE90"/>
        </patternFill>
      </fill>
    </dxf>
  </dxfs>
  <tableStyles count="1" defaultTableStyle="TableStyleMedium2" defaultPivotStyle="PivotStyleLight16">
    <tableStyle name="Invisible" pivot="0" table="0" count="0" xr9:uid="{690622AA-99EA-4B83-B5E6-747594B9225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0</xdr:row>
      <xdr:rowOff>0</xdr:rowOff>
    </xdr:from>
    <xdr:to>
      <xdr:col>10</xdr:col>
      <xdr:colOff>247650</xdr:colOff>
      <xdr:row>9</xdr:row>
      <xdr:rowOff>180974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3300" y="0"/>
          <a:ext cx="4419600" cy="1895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485775</xdr:colOff>
          <xdr:row>12</xdr:row>
          <xdr:rowOff>95250</xdr:rowOff>
        </xdr:from>
        <xdr:to>
          <xdr:col>5</xdr:col>
          <xdr:colOff>400050</xdr:colOff>
          <xdr:row>15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Georgia"/>
                </a:rPr>
                <a:t>Nuevo prestamo</a:t>
              </a:r>
            </a:p>
            <a:p>
              <a:pPr algn="ctr" rtl="0">
                <a:defRPr sz="1000"/>
              </a:pPr>
              <a:endParaRPr lang="es-AR" sz="1200" b="1" i="0" u="none" strike="noStrike" baseline="0">
                <a:solidFill>
                  <a:srgbClr val="000000"/>
                </a:solidFill>
                <a:latin typeface="Georgi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552450</xdr:colOff>
          <xdr:row>12</xdr:row>
          <xdr:rowOff>104775</xdr:rowOff>
        </xdr:from>
        <xdr:to>
          <xdr:col>7</xdr:col>
          <xdr:colOff>466725</xdr:colOff>
          <xdr:row>15</xdr:row>
          <xdr:rowOff>66675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Georgia"/>
                </a:rPr>
                <a:t>Pagos</a:t>
              </a:r>
            </a:p>
            <a:p>
              <a:pPr algn="ctr" rtl="0">
                <a:defRPr sz="1000"/>
              </a:pPr>
              <a:endParaRPr lang="es-AR" sz="1200" b="1" i="0" u="none" strike="noStrike" baseline="0">
                <a:solidFill>
                  <a:srgbClr val="000000"/>
                </a:solidFill>
                <a:latin typeface="Georgia"/>
              </a:endParaRPr>
            </a:p>
            <a:p>
              <a:pPr algn="ctr" rtl="0">
                <a:defRPr sz="1000"/>
              </a:pPr>
              <a:endParaRPr lang="es-AR" sz="1200" b="1" i="0" u="none" strike="noStrike" baseline="0">
                <a:solidFill>
                  <a:srgbClr val="000000"/>
                </a:solidFill>
                <a:latin typeface="Georgi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12</xdr:row>
          <xdr:rowOff>95250</xdr:rowOff>
        </xdr:from>
        <xdr:to>
          <xdr:col>9</xdr:col>
          <xdr:colOff>638175</xdr:colOff>
          <xdr:row>15</xdr:row>
          <xdr:rowOff>57150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Georgia"/>
                </a:rPr>
                <a:t>Eliminar</a:t>
              </a:r>
            </a:p>
            <a:p>
              <a:pPr algn="ctr" rtl="0">
                <a:defRPr sz="1000"/>
              </a:pPr>
              <a:endParaRPr lang="es-AR" sz="1200" b="1" i="0" u="none" strike="noStrike" baseline="0">
                <a:solidFill>
                  <a:srgbClr val="000000"/>
                </a:solidFill>
                <a:latin typeface="Georgia"/>
              </a:endParaRPr>
            </a:p>
            <a:p>
              <a:pPr algn="ctr" rtl="0">
                <a:defRPr sz="1000"/>
              </a:pPr>
              <a:endParaRPr lang="es-AR" sz="1200" b="1" i="0" u="none" strike="noStrike" baseline="0">
                <a:solidFill>
                  <a:srgbClr val="000000"/>
                </a:solidFill>
                <a:latin typeface="Georgi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12</xdr:row>
          <xdr:rowOff>95250</xdr:rowOff>
        </xdr:from>
        <xdr:to>
          <xdr:col>11</xdr:col>
          <xdr:colOff>733425</xdr:colOff>
          <xdr:row>15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Georgia"/>
                </a:rPr>
                <a:t>Actualizar</a:t>
              </a:r>
            </a:p>
            <a:p>
              <a:pPr algn="ctr" rtl="0">
                <a:defRPr sz="1000"/>
              </a:pPr>
              <a:endParaRPr lang="es-AR" sz="1200" b="1" i="0" u="none" strike="noStrike" baseline="0">
                <a:solidFill>
                  <a:srgbClr val="000000"/>
                </a:solidFill>
                <a:latin typeface="Georgia"/>
              </a:endParaRPr>
            </a:p>
            <a:p>
              <a:pPr algn="ctr" rtl="0">
                <a:defRPr sz="1000"/>
              </a:pPr>
              <a:endParaRPr lang="es-AR" sz="1200" b="1" i="0" u="none" strike="noStrike" baseline="0">
                <a:solidFill>
                  <a:srgbClr val="000000"/>
                </a:solidFill>
                <a:latin typeface="Georgia"/>
              </a:endParaRPr>
            </a:p>
            <a:p>
              <a:pPr algn="ctr" rtl="0">
                <a:defRPr sz="1000"/>
              </a:pPr>
              <a:endParaRPr lang="es-AR" sz="1200" b="1" i="0" u="none" strike="noStrike" baseline="0">
                <a:solidFill>
                  <a:srgbClr val="000000"/>
                </a:solidFill>
                <a:latin typeface="Georgia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139.645009027779" createdVersion="8" refreshedVersion="8" minRefreshableVersion="3" recordCount="1850" xr:uid="{A449FB55-690E-48DE-A0BA-3DF95CC45E80}">
  <cacheSource type="worksheet">
    <worksheetSource ref="A1:J1048576" sheet="Cuotas"/>
  </cacheSource>
  <cacheFields count="10">
    <cacheField name="A: ID del Préstamo" numFmtId="0">
      <sharedItems containsString="0" containsBlank="1" containsNumber="1" containsInteger="1" minValue="20466" maxValue="963148500" count="43">
        <n v="23430"/>
        <n v="20466"/>
        <n v="66235635"/>
        <n v="22044"/>
        <n v="119980"/>
        <n v="23700"/>
        <n v="30065708"/>
        <n v="20828"/>
        <n v="23996"/>
        <n v="28343183"/>
        <n v="927328"/>
        <n v="75472831"/>
        <n v="863502600"/>
        <n v="843950300"/>
        <n v="23790"/>
        <n v="24004"/>
        <n v="65210751"/>
        <n v="23467"/>
        <n v="863502400"/>
        <n v="394949"/>
        <n v="347916"/>
        <n v="2537844"/>
        <n v="885417400"/>
        <n v="31295"/>
        <n v="885417900"/>
        <n v="24214"/>
        <n v="24132"/>
        <m/>
        <n v="22901462"/>
        <n v="25912222"/>
        <n v="27520596"/>
        <n v="1725053"/>
        <n v="85223302"/>
        <n v="272635"/>
        <n v="933803600"/>
        <n v="936549900"/>
        <n v="36663680"/>
        <n v="946100200"/>
        <n v="945870600"/>
        <n v="281431"/>
        <n v="963148500"/>
        <n v="292466"/>
        <n v="28308295"/>
      </sharedItems>
    </cacheField>
    <cacheField name="B: Número de Cuota" numFmtId="0">
      <sharedItems containsBlank="1" containsMixedTypes="1" containsNumber="1" containsInteger="1" minValue="1" maxValue="84"/>
    </cacheField>
    <cacheField name="C: Capital" numFmtId="0">
      <sharedItems containsString="0" containsBlank="1" containsNumber="1" minValue="0" maxValue="41666666.666666664"/>
    </cacheField>
    <cacheField name="D: Intereses" numFmtId="0">
      <sharedItems containsString="0" containsBlank="1" containsNumber="1" minValue="11470.86" maxValue="34855502.5"/>
    </cacheField>
    <cacheField name="E: IVA" numFmtId="0">
      <sharedItems containsString="0" containsBlank="1" containsNumber="1" minValue="-1920513.7100000009" maxValue="4182660.3"/>
    </cacheField>
    <cacheField name="F: Total a Pagar" numFmtId="0">
      <sharedItems containsString="0" containsBlank="1" containsNumber="1" minValue="-36242681.579999991" maxValue="66815940.539999992"/>
    </cacheField>
    <cacheField name="G: Fecha de Vencimiento" numFmtId="0">
      <sharedItems containsNonDate="0" containsDate="1" containsString="0" containsBlank="1" minDate="2022-02-01T00:00:00" maxDate="2032-09-10T00:00:00"/>
    </cacheField>
    <cacheField name="H:Entidad" numFmtId="0">
      <sharedItems containsBlank="1" count="12">
        <s v="BANCO BICE"/>
        <s v="BANCO GALICIA"/>
        <s v="BANCO NACION"/>
        <s v="BANCO SANTANDER RIO"/>
        <s v="BANCO SANTA FE"/>
        <s v="BANCO BBVA"/>
        <s v="BANCO HSBC"/>
        <s v="BANCO CIUDAD"/>
        <s v="BANCO CREDICOOP"/>
        <s v="BANCO ICBC"/>
        <s v="GALICIA MAS"/>
        <m/>
      </sharedItems>
    </cacheField>
    <cacheField name="Estado" numFmtId="43">
      <sharedItems containsBlank="1" count="3">
        <s v="Pagado"/>
        <s v="Pendiente"/>
        <m/>
      </sharedItems>
    </cacheField>
    <cacheField name="Restructurado" numFmtId="0">
      <sharedItems containsBlank="1" count="2">
        <m/>
        <s v="CANCELAD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50">
  <r>
    <x v="0"/>
    <n v="2"/>
    <n v="0"/>
    <n v="4142465.71"/>
    <n v="497095.89"/>
    <n v="4639561.5999999996"/>
    <d v="2024-09-19T00:00:00"/>
    <x v="0"/>
    <x v="0"/>
    <x v="0"/>
  </r>
  <r>
    <x v="0"/>
    <n v="3"/>
    <n v="0"/>
    <n v="4142465.71"/>
    <n v="497095.89"/>
    <n v="4639561.5999999996"/>
    <d v="2024-10-19T00:00:00"/>
    <x v="0"/>
    <x v="0"/>
    <x v="0"/>
  </r>
  <r>
    <x v="0"/>
    <n v="4"/>
    <n v="0"/>
    <n v="4142465.71"/>
    <n v="497095.89"/>
    <n v="4639561.5999999996"/>
    <d v="2024-11-19T00:00:00"/>
    <x v="0"/>
    <x v="0"/>
    <x v="0"/>
  </r>
  <r>
    <x v="0"/>
    <n v="5"/>
    <n v="0"/>
    <n v="4142465.71"/>
    <n v="497095.89"/>
    <n v="4639561.5999999996"/>
    <d v="2024-12-19T00:00:00"/>
    <x v="0"/>
    <x v="0"/>
    <x v="0"/>
  </r>
  <r>
    <x v="0"/>
    <n v="6"/>
    <n v="0"/>
    <n v="4142465.71"/>
    <n v="497095.89"/>
    <n v="4639561.5999999996"/>
    <d v="2025-01-19T00:00:00"/>
    <x v="0"/>
    <x v="0"/>
    <x v="0"/>
  </r>
  <r>
    <x v="0"/>
    <n v="7"/>
    <n v="0"/>
    <n v="3616569.43"/>
    <n v="433988.33159999998"/>
    <n v="4050557.7616000003"/>
    <d v="2025-02-19T00:00:00"/>
    <x v="0"/>
    <x v="0"/>
    <x v="0"/>
  </r>
  <r>
    <x v="0"/>
    <n v="8"/>
    <n v="0"/>
    <n v="3335399.55"/>
    <n v="400247.94599999994"/>
    <n v="3735647.4959999998"/>
    <d v="2025-03-19T00:00:00"/>
    <x v="0"/>
    <x v="0"/>
    <x v="0"/>
  </r>
  <r>
    <x v="0"/>
    <n v="9"/>
    <n v="0"/>
    <n v="4142465.71"/>
    <n v="497095.89"/>
    <n v="4639561.5999999996"/>
    <d v="2025-04-19T00:00:00"/>
    <x v="0"/>
    <x v="0"/>
    <x v="0"/>
  </r>
  <r>
    <x v="0"/>
    <n v="10"/>
    <n v="0"/>
    <n v="4142465.71"/>
    <n v="497095.89"/>
    <n v="4639561.5999999996"/>
    <d v="2025-05-19T00:00:00"/>
    <x v="0"/>
    <x v="0"/>
    <x v="0"/>
  </r>
  <r>
    <x v="0"/>
    <n v="11"/>
    <n v="0"/>
    <n v="4142465.71"/>
    <n v="497095.89"/>
    <n v="4639561.5999999996"/>
    <d v="2025-06-19T00:00:00"/>
    <x v="0"/>
    <x v="0"/>
    <x v="0"/>
  </r>
  <r>
    <x v="0"/>
    <n v="12"/>
    <n v="0"/>
    <n v="4142465.71"/>
    <n v="497095.89"/>
    <n v="4639561.5999999996"/>
    <d v="2025-07-19T00:00:00"/>
    <x v="0"/>
    <x v="0"/>
    <x v="0"/>
  </r>
  <r>
    <x v="0"/>
    <n v="13"/>
    <n v="446958.54"/>
    <n v="4142465.71"/>
    <n v="497095.89"/>
    <n v="5086520.1399999997"/>
    <d v="2025-08-19T00:00:00"/>
    <x v="0"/>
    <x v="0"/>
    <x v="0"/>
  </r>
  <r>
    <x v="1"/>
    <n v="36"/>
    <n v="456300.95493154926"/>
    <n v="905860.82885523653"/>
    <n v="108703.29946262838"/>
    <n v="1470865.0832494141"/>
    <d v="2025-08-31T00:00:00"/>
    <x v="0"/>
    <x v="0"/>
    <x v="0"/>
  </r>
  <r>
    <x v="2"/>
    <n v="1"/>
    <n v="0"/>
    <n v="8068493.1500000004"/>
    <n v="968219.1799999997"/>
    <n v="9036712.3300000001"/>
    <d v="2024-08-02T00:00:00"/>
    <x v="1"/>
    <x v="0"/>
    <x v="0"/>
  </r>
  <r>
    <x v="3"/>
    <n v="25"/>
    <n v="661140.20410014177"/>
    <n v="2070857.6467471062"/>
    <n v="248502.91760965274"/>
    <n v="2980500.7684569005"/>
    <d v="2025-09-02T00:00:00"/>
    <x v="0"/>
    <x v="0"/>
    <x v="0"/>
  </r>
  <r>
    <x v="4"/>
    <n v="1"/>
    <n v="0"/>
    <n v="17884931.510000002"/>
    <n v="2146191.7799999975"/>
    <n v="20031123.289999999"/>
    <d v="2024-12-04T00:00:00"/>
    <x v="1"/>
    <x v="0"/>
    <x v="0"/>
  </r>
  <r>
    <x v="5"/>
    <n v="7"/>
    <n v="9545818.3499999996"/>
    <n v="13076078.880000001"/>
    <n v="1569129.46"/>
    <n v="24191026.690000001"/>
    <d v="2025-09-07T00:00:00"/>
    <x v="0"/>
    <x v="0"/>
    <x v="0"/>
  </r>
  <r>
    <x v="6"/>
    <n v="1"/>
    <n v="12916666.66"/>
    <n v="4739178.08"/>
    <n v="273819.25999999978"/>
    <n v="17929664"/>
    <d v="2024-12-16T00:00:00"/>
    <x v="2"/>
    <x v="0"/>
    <x v="1"/>
  </r>
  <r>
    <x v="7"/>
    <n v="33"/>
    <n v="546814.79472101526"/>
    <n v="1236915.7308831576"/>
    <n v="129876.15174273154"/>
    <n v="1913606.6773469043"/>
    <d v="2025-09-12T00:00:00"/>
    <x v="0"/>
    <x v="0"/>
    <x v="0"/>
  </r>
  <r>
    <x v="8"/>
    <n v="2"/>
    <n v="0"/>
    <n v="9416095.8000000007"/>
    <n v="1130873.1100000001"/>
    <n v="10546968.91"/>
    <d v="2025-09-13T00:00:00"/>
    <x v="0"/>
    <x v="0"/>
    <x v="0"/>
  </r>
  <r>
    <x v="9"/>
    <n v="1"/>
    <n v="11111111.130000001"/>
    <n v="6158904.1100000003"/>
    <n v="739068.29000000097"/>
    <n v="18009083.530000001"/>
    <d v="2024-09-16T00:00:00"/>
    <x v="2"/>
    <x v="0"/>
    <x v="0"/>
  </r>
  <r>
    <x v="10"/>
    <n v="1"/>
    <n v="3208269.6434659213"/>
    <n v="10838750"/>
    <n v="1300650"/>
    <n v="15347669.643465921"/>
    <d v="2024-11-17T00:00:00"/>
    <x v="3"/>
    <x v="0"/>
    <x v="0"/>
  </r>
  <r>
    <x v="11"/>
    <n v="1"/>
    <n v="0"/>
    <n v="2893150.68"/>
    <n v="347178.07999999961"/>
    <n v="3240328.76"/>
    <d v="2024-11-17T00:00:00"/>
    <x v="1"/>
    <x v="0"/>
    <x v="0"/>
  </r>
  <r>
    <x v="12"/>
    <n v="9"/>
    <n v="1231770.1000000001"/>
    <n v="3951809.5"/>
    <n v="474217.14"/>
    <n v="5657796.7400000002"/>
    <d v="2025-09-17T00:00:00"/>
    <x v="4"/>
    <x v="0"/>
    <x v="0"/>
  </r>
  <r>
    <x v="13"/>
    <n v="1"/>
    <n v="1487744.4"/>
    <n v="6287625"/>
    <n v="754515.01000000024"/>
    <n v="8529884.4100000001"/>
    <d v="2024-10-27T00:00:00"/>
    <x v="4"/>
    <x v="0"/>
    <x v="0"/>
  </r>
  <r>
    <x v="14"/>
    <n v="6"/>
    <n v="9203974.3060486969"/>
    <n v="13591259.788616663"/>
    <n v="1630951.1746339996"/>
    <n v="24426185.269299358"/>
    <d v="2025-09-17T00:00:00"/>
    <x v="0"/>
    <x v="0"/>
    <x v="0"/>
  </r>
  <r>
    <x v="15"/>
    <n v="2"/>
    <n v="821900.89"/>
    <n v="4952608.68"/>
    <n v="594808.30000000005"/>
    <n v="6369317.8700000001"/>
    <d v="2025-09-17T00:00:00"/>
    <x v="0"/>
    <x v="0"/>
    <x v="0"/>
  </r>
  <r>
    <x v="16"/>
    <n v="1"/>
    <n v="0"/>
    <n v="8835616.4399999995"/>
    <n v="1060273.9800000004"/>
    <n v="9895890.4199999999"/>
    <d v="2024-07-18T00:00:00"/>
    <x v="1"/>
    <x v="0"/>
    <x v="0"/>
  </r>
  <r>
    <x v="0"/>
    <n v="14"/>
    <n v="461653.07"/>
    <n v="4127771.18"/>
    <n v="495332.54"/>
    <n v="5084756.79"/>
    <d v="2025-09-19T00:00:00"/>
    <x v="0"/>
    <x v="0"/>
    <x v="0"/>
  </r>
  <r>
    <x v="17"/>
    <n v="13"/>
    <n v="1731199.02"/>
    <n v="15479141.939999999"/>
    <n v="1857497.03"/>
    <n v="19067837.989999998"/>
    <d v="2025-09-19T00:00:00"/>
    <x v="0"/>
    <x v="0"/>
    <x v="0"/>
  </r>
  <r>
    <x v="18"/>
    <n v="1"/>
    <n v="1647402.23"/>
    <n v="8374185"/>
    <n v="1004902.21"/>
    <n v="11026489.439999999"/>
    <d v="2025-01-17T00:00:00"/>
    <x v="4"/>
    <x v="0"/>
    <x v="0"/>
  </r>
  <r>
    <x v="19"/>
    <n v="9"/>
    <n v="820701.36"/>
    <n v="4085615.93"/>
    <n v="490273.9"/>
    <n v="5396591.1900000004"/>
    <d v="2025-09-26T00:00:00"/>
    <x v="5"/>
    <x v="0"/>
    <x v="0"/>
  </r>
  <r>
    <x v="20"/>
    <n v="1"/>
    <n v="1703183.7682594266"/>
    <n v="6750000"/>
    <n v="810000"/>
    <n v="9263183.7682594266"/>
    <d v="2024-07-27T00:00:00"/>
    <x v="5"/>
    <x v="0"/>
    <x v="0"/>
  </r>
  <r>
    <x v="21"/>
    <n v="1"/>
    <n v="2500000"/>
    <n v="5800000"/>
    <n v="696000"/>
    <n v="8996000"/>
    <d v="2024-04-27T00:00:00"/>
    <x v="6"/>
    <x v="0"/>
    <x v="0"/>
  </r>
  <r>
    <x v="22"/>
    <n v="6"/>
    <n v="27777777.777777776"/>
    <n v="16175893.859999999"/>
    <n v="1941107.2631999999"/>
    <n v="45894778.909999996"/>
    <d v="2025-09-25T00:00:00"/>
    <x v="4"/>
    <x v="0"/>
    <x v="0"/>
  </r>
  <r>
    <x v="23"/>
    <n v="1"/>
    <m/>
    <n v="5493369.8600000003"/>
    <n v="659204.39"/>
    <n v="6152574.25"/>
    <d v="2025-01-27T00:00:00"/>
    <x v="7"/>
    <x v="0"/>
    <x v="0"/>
  </r>
  <r>
    <x v="24"/>
    <n v="6"/>
    <n v="27777777.777777776"/>
    <n v="16175893.859999999"/>
    <n v="1941107.2631999999"/>
    <n v="45894778.909999996"/>
    <d v="2025-09-28T00:00:00"/>
    <x v="4"/>
    <x v="0"/>
    <x v="0"/>
  </r>
  <r>
    <x v="1"/>
    <n v="37"/>
    <n v="469989.98357949569"/>
    <n v="892171.8002072901"/>
    <n v="107060.61602487481"/>
    <n v="1469222.3998116606"/>
    <d v="2025-09-30T00:00:00"/>
    <x v="0"/>
    <x v="0"/>
    <x v="0"/>
  </r>
  <r>
    <x v="2"/>
    <n v="2"/>
    <n v="0"/>
    <n v="8068493.1500000004"/>
    <n v="968219.1799999997"/>
    <n v="9036712.3300000001"/>
    <d v="2024-09-02T00:00:00"/>
    <x v="1"/>
    <x v="0"/>
    <x v="0"/>
  </r>
  <r>
    <x v="3"/>
    <n v="26"/>
    <n v="680974.4102231462"/>
    <n v="2051023.4406241018"/>
    <n v="246122.8128748922"/>
    <n v="2978120.6637221402"/>
    <d v="2025-10-02T00:00:00"/>
    <x v="0"/>
    <x v="0"/>
    <x v="0"/>
  </r>
  <r>
    <x v="4"/>
    <n v="2"/>
    <n v="0"/>
    <n v="19673424.66"/>
    <n v="2360810.9600000009"/>
    <n v="22034235.620000001"/>
    <d v="2025-01-04T00:00:00"/>
    <x v="1"/>
    <x v="0"/>
    <x v="0"/>
  </r>
  <r>
    <x v="5"/>
    <n v="8"/>
    <n v="9824347.0199999996"/>
    <n v="12797550.210000001"/>
    <n v="1535706.02"/>
    <n v="24157603.25"/>
    <d v="2025-10-07T00:00:00"/>
    <x v="0"/>
    <x v="0"/>
    <x v="0"/>
  </r>
  <r>
    <x v="7"/>
    <n v="34"/>
    <n v="563219.23856264562"/>
    <n v="1220511.2870415272"/>
    <n v="128153.68513936036"/>
    <n v="1911884.2107435332"/>
    <d v="2025-10-12T00:00:00"/>
    <x v="0"/>
    <x v="0"/>
    <x v="0"/>
  </r>
  <r>
    <x v="6"/>
    <n v="2"/>
    <n v="12916666.66"/>
    <n v="3488827.0624999986"/>
    <n v="418659.24749999982"/>
    <n v="16824152.969999999"/>
    <d v="2025-01-15T00:00:00"/>
    <x v="2"/>
    <x v="0"/>
    <x v="1"/>
  </r>
  <r>
    <x v="8"/>
    <n v="3"/>
    <n v="0"/>
    <n v="9416095.8000000007"/>
    <n v="1130873.1100000001"/>
    <n v="10546968.91"/>
    <d v="2025-10-13T00:00:00"/>
    <x v="0"/>
    <x v="0"/>
    <x v="0"/>
  </r>
  <r>
    <x v="9"/>
    <n v="2"/>
    <n v="11111111.109999999"/>
    <n v="5453196.3499999996"/>
    <n v="654383.38000000082"/>
    <n v="17218690.84"/>
    <d v="2024-10-16T00:00:00"/>
    <x v="2"/>
    <x v="0"/>
    <x v="0"/>
  </r>
  <r>
    <x v="10"/>
    <n v="2"/>
    <n v="3288209.0287489481"/>
    <n v="10758810.614716973"/>
    <n v="1291057.2737660368"/>
    <n v="15338076.917231958"/>
    <d v="2024-12-17T00:00:00"/>
    <x v="3"/>
    <x v="0"/>
    <x v="0"/>
  </r>
  <r>
    <x v="11"/>
    <n v="2"/>
    <n v="0"/>
    <n v="2454794.52"/>
    <n v="294575.33999999985"/>
    <n v="2749369.86"/>
    <d v="2024-12-17T00:00:00"/>
    <x v="1"/>
    <x v="0"/>
    <x v="0"/>
  </r>
  <r>
    <x v="12"/>
    <n v="10"/>
    <n v="1266191.9099999999"/>
    <n v="3917387.69"/>
    <n v="470086.53"/>
    <n v="5653666.1299999999"/>
    <d v="2025-10-17T00:00:00"/>
    <x v="4"/>
    <x v="0"/>
    <x v="0"/>
  </r>
  <r>
    <x v="13"/>
    <n v="2"/>
    <n v="1529319.42"/>
    <n v="6246049.9800000004"/>
    <n v="749526"/>
    <n v="8524895.4000000004"/>
    <d v="2024-11-27T00:00:00"/>
    <x v="4"/>
    <x v="0"/>
    <x v="0"/>
  </r>
  <r>
    <x v="14"/>
    <n v="7"/>
    <n v="9477217.2932595164"/>
    <n v="13318016.801405843"/>
    <n v="1598162.0161687012"/>
    <n v="24393396.110834062"/>
    <d v="2025-10-17T00:00:00"/>
    <x v="0"/>
    <x v="0"/>
    <x v="0"/>
  </r>
  <r>
    <x v="15"/>
    <n v="3"/>
    <n v="849513.39"/>
    <n v="4924996.18"/>
    <n v="591492.04"/>
    <n v="6366001.6100000003"/>
    <d v="2025-10-17T00:00:00"/>
    <x v="0"/>
    <x v="0"/>
    <x v="0"/>
  </r>
  <r>
    <x v="16"/>
    <n v="2"/>
    <n v="0"/>
    <n v="9424657.5299999993"/>
    <n v="1130958.9000000004"/>
    <n v="10555616.43"/>
    <d v="2024-08-18T00:00:00"/>
    <x v="1"/>
    <x v="0"/>
    <x v="0"/>
  </r>
  <r>
    <x v="0"/>
    <n v="15"/>
    <n v="476830.7"/>
    <n v="4112593.55"/>
    <n v="493511.22"/>
    <n v="5082935.47"/>
    <d v="2025-10-19T00:00:00"/>
    <x v="0"/>
    <x v="0"/>
    <x v="0"/>
  </r>
  <r>
    <x v="17"/>
    <n v="14"/>
    <n v="1788115.15"/>
    <n v="15422225.810000001"/>
    <n v="1850667.1"/>
    <n v="19061008.059999999"/>
    <d v="2025-10-19T00:00:00"/>
    <x v="0"/>
    <x v="0"/>
    <x v="0"/>
  </r>
  <r>
    <x v="18"/>
    <n v="2"/>
    <n v="1963573.89"/>
    <n v="8058013.3399999999"/>
    <n v="966961.6"/>
    <n v="10988548.83"/>
    <d v="2025-02-17T00:00:00"/>
    <x v="4"/>
    <x v="0"/>
    <x v="0"/>
  </r>
  <r>
    <x v="19"/>
    <n v="10"/>
    <n v="843954.57"/>
    <n v="4062362.72"/>
    <n v="487483.52"/>
    <n v="5393800.8099999996"/>
    <d v="2025-10-26T00:00:00"/>
    <x v="5"/>
    <x v="0"/>
    <x v="0"/>
  </r>
  <r>
    <x v="20"/>
    <n v="2"/>
    <n v="1741505.4030452631"/>
    <n v="6711678.3652141634"/>
    <n v="805401.40382569958"/>
    <n v="9258585.1720851269"/>
    <d v="2024-08-27T00:00:00"/>
    <x v="5"/>
    <x v="0"/>
    <x v="0"/>
  </r>
  <r>
    <x v="21"/>
    <n v="2"/>
    <n v="2500000"/>
    <n v="5679166.666666667"/>
    <n v="681500"/>
    <n v="8860666.6666666679"/>
    <d v="2024-05-27T00:00:00"/>
    <x v="6"/>
    <x v="0"/>
    <x v="0"/>
  </r>
  <r>
    <x v="22"/>
    <n v="7"/>
    <n v="27777777.777777776"/>
    <n v="19388842.670000002"/>
    <n v="2326661.1200000001"/>
    <n v="49493281.57"/>
    <d v="2025-10-25T00:00:00"/>
    <x v="4"/>
    <x v="0"/>
    <x v="0"/>
  </r>
  <r>
    <x v="23"/>
    <n v="2"/>
    <m/>
    <n v="5390000"/>
    <n v="646800"/>
    <n v="6036800"/>
    <d v="2025-02-27T00:00:00"/>
    <x v="7"/>
    <x v="0"/>
    <x v="0"/>
  </r>
  <r>
    <x v="24"/>
    <n v="7"/>
    <n v="27777777.777777776"/>
    <n v="19388842.670000002"/>
    <n v="2326661.1200000001"/>
    <n v="49493281.57"/>
    <d v="2025-10-28T00:00:00"/>
    <x v="4"/>
    <x v="0"/>
    <x v="0"/>
  </r>
  <r>
    <x v="1"/>
    <n v="38"/>
    <n v="484089.6830868806"/>
    <n v="878072.10069990519"/>
    <n v="105368.65208398862"/>
    <n v="1467530.4358707743"/>
    <d v="2025-10-31T00:00:00"/>
    <x v="0"/>
    <x v="0"/>
    <x v="0"/>
  </r>
  <r>
    <x v="2"/>
    <n v="3"/>
    <n v="0"/>
    <n v="7808219.1799999997"/>
    <n v="936986.30000000075"/>
    <n v="8745205.4800000004"/>
    <d v="2024-10-02T00:00:00"/>
    <x v="1"/>
    <x v="0"/>
    <x v="0"/>
  </r>
  <r>
    <x v="3"/>
    <n v="27"/>
    <n v="701403.64252984058"/>
    <n v="2030594.2083174074"/>
    <n v="243671.30499808889"/>
    <n v="2975669.1558453371"/>
    <d v="2025-11-02T00:00:00"/>
    <x v="0"/>
    <x v="0"/>
    <x v="0"/>
  </r>
  <r>
    <x v="4"/>
    <n v="3"/>
    <n v="0"/>
    <n v="17288767.120000001"/>
    <n v="2074652.0599999987"/>
    <n v="19363419.18"/>
    <d v="2025-02-04T00:00:00"/>
    <x v="1"/>
    <x v="0"/>
    <x v="0"/>
  </r>
  <r>
    <x v="5"/>
    <n v="9"/>
    <n v="10111002.630000001"/>
    <n v="12510894.6"/>
    <n v="1501307.35"/>
    <n v="24123204.580000002"/>
    <d v="2025-11-07T00:00:00"/>
    <x v="0"/>
    <x v="0"/>
    <x v="0"/>
  </r>
  <r>
    <x v="6"/>
    <n v="3"/>
    <n v="12916666.66"/>
    <n v="3821917.81"/>
    <n v="220821.91999999993"/>
    <n v="16959406.390000001"/>
    <d v="2025-02-14T00:00:00"/>
    <x v="2"/>
    <x v="0"/>
    <x v="1"/>
  </r>
  <r>
    <x v="7"/>
    <n v="35"/>
    <n v="580115.81571952486"/>
    <n v="1203614.709884648"/>
    <n v="126379.54453788804"/>
    <n v="1910110.070142061"/>
    <d v="2025-11-12T00:00:00"/>
    <x v="0"/>
    <x v="0"/>
    <x v="0"/>
  </r>
  <r>
    <x v="8"/>
    <n v="4"/>
    <n v="0"/>
    <n v="9416095.8000000007"/>
    <n v="1130873.1100000001"/>
    <n v="10546968.91"/>
    <d v="2025-11-13T00:00:00"/>
    <x v="0"/>
    <x v="0"/>
    <x v="0"/>
  </r>
  <r>
    <x v="9"/>
    <n v="3"/>
    <n v="11111111.109999999"/>
    <n v="5132420.09"/>
    <n v="615890.24000000209"/>
    <n v="16859421.440000001"/>
    <d v="2024-11-16T00:00:00"/>
    <x v="2"/>
    <x v="0"/>
    <x v="0"/>
  </r>
  <r>
    <x v="10"/>
    <n v="3"/>
    <n v="3370140.2370486092"/>
    <n v="10676879.406417312"/>
    <n v="1281225.5287700775"/>
    <n v="15328245.172235999"/>
    <d v="2025-01-17T00:00:00"/>
    <x v="3"/>
    <x v="0"/>
    <x v="0"/>
  </r>
  <r>
    <x v="11"/>
    <n v="3"/>
    <n v="0"/>
    <n v="2717808.22"/>
    <n v="326136.98"/>
    <n v="3043945.2"/>
    <d v="2025-01-17T00:00:00"/>
    <x v="1"/>
    <x v="0"/>
    <x v="0"/>
  </r>
  <r>
    <x v="18"/>
    <n v="3"/>
    <n v="2018445.96"/>
    <n v="8003141.2699999996"/>
    <n v="960376.95"/>
    <n v="10981964.18"/>
    <d v="2025-03-17T00:00:00"/>
    <x v="4"/>
    <x v="0"/>
    <x v="0"/>
  </r>
  <r>
    <x v="12"/>
    <n v="11"/>
    <n v="1301575.6499999999"/>
    <n v="3882003.95"/>
    <n v="465840.47"/>
    <n v="5649420.0700000003"/>
    <d v="2025-11-17T00:00:00"/>
    <x v="4"/>
    <x v="0"/>
    <x v="0"/>
  </r>
  <r>
    <x v="14"/>
    <n v="8"/>
    <n v="9758572.1816531587"/>
    <n v="13036661.913012201"/>
    <n v="1564399.4295614641"/>
    <n v="24359633.524226822"/>
    <d v="2025-11-17T00:00:00"/>
    <x v="0"/>
    <x v="0"/>
    <x v="0"/>
  </r>
  <r>
    <x v="15"/>
    <n v="4"/>
    <n v="878053.55"/>
    <n v="4896456.0199999996"/>
    <n v="588064.37"/>
    <n v="6362573.9400000004"/>
    <d v="2025-11-17T00:00:00"/>
    <x v="0"/>
    <x v="0"/>
    <x v="0"/>
  </r>
  <r>
    <x v="16"/>
    <n v="3"/>
    <n v="0"/>
    <n v="8835616.4399999995"/>
    <n v="1060273.9800000004"/>
    <n v="9895890.4199999999"/>
    <d v="2024-09-18T00:00:00"/>
    <x v="1"/>
    <x v="0"/>
    <x v="0"/>
  </r>
  <r>
    <x v="0"/>
    <n v="16"/>
    <n v="492507.33"/>
    <n v="4096916.92"/>
    <n v="491630.03"/>
    <n v="5081054.28"/>
    <d v="2025-11-19T00:00:00"/>
    <x v="0"/>
    <x v="0"/>
    <x v="0"/>
  </r>
  <r>
    <x v="17"/>
    <n v="15"/>
    <n v="1846902.5"/>
    <n v="15363438.460000001"/>
    <n v="1843612.62"/>
    <n v="19053953.580000002"/>
    <d v="2025-11-19T00:00:00"/>
    <x v="0"/>
    <x v="0"/>
    <x v="0"/>
  </r>
  <r>
    <x v="22"/>
    <n v="8"/>
    <n v="27777777.777777776"/>
    <n v="9339814.8148148116"/>
    <n v="1120777.7777777773"/>
    <n v="38238370.370370366"/>
    <d v="2025-11-25T00:00:00"/>
    <x v="4"/>
    <x v="0"/>
    <x v="0"/>
  </r>
  <r>
    <x v="19"/>
    <n v="11"/>
    <n v="867866.61"/>
    <n v="4038450.68"/>
    <n v="484614.08"/>
    <n v="5390931.3700000001"/>
    <d v="2025-11-26T00:00:00"/>
    <x v="5"/>
    <x v="0"/>
    <x v="0"/>
  </r>
  <r>
    <x v="20"/>
    <n v="3"/>
    <n v="1780689.2746137809"/>
    <n v="6672494.4936456457"/>
    <n v="800699.33923747751"/>
    <n v="9253883.1074969042"/>
    <d v="2024-09-27T00:00:00"/>
    <x v="5"/>
    <x v="0"/>
    <x v="0"/>
  </r>
  <r>
    <x v="17"/>
    <n v="1"/>
    <n v="0"/>
    <n v="8802739.7300000004"/>
    <n v="1056328.77"/>
    <n v="9859068.5"/>
    <d v="2024-09-19T00:00:00"/>
    <x v="0"/>
    <x v="0"/>
    <x v="0"/>
  </r>
  <r>
    <x v="17"/>
    <n v="2"/>
    <n v="0"/>
    <n v="15534246.42"/>
    <n v="1864109.57"/>
    <n v="17398355.989999998"/>
    <d v="2024-10-19T00:00:00"/>
    <x v="0"/>
    <x v="0"/>
    <x v="0"/>
  </r>
  <r>
    <x v="17"/>
    <n v="3"/>
    <n v="0"/>
    <n v="15534246.42"/>
    <n v="1864109.57"/>
    <n v="17398355.989999998"/>
    <d v="2024-11-19T00:00:00"/>
    <x v="0"/>
    <x v="0"/>
    <x v="0"/>
  </r>
  <r>
    <x v="17"/>
    <n v="4"/>
    <n v="0"/>
    <n v="15534246.42"/>
    <n v="1864109.57"/>
    <n v="17398355.989999998"/>
    <d v="2024-12-19T00:00:00"/>
    <x v="0"/>
    <x v="0"/>
    <x v="0"/>
  </r>
  <r>
    <x v="17"/>
    <n v="5"/>
    <n v="0"/>
    <n v="15534246.42"/>
    <n v="1864109.57"/>
    <n v="17398355.989999998"/>
    <d v="2025-01-19T00:00:00"/>
    <x v="0"/>
    <x v="0"/>
    <x v="0"/>
  </r>
  <r>
    <x v="17"/>
    <n v="6"/>
    <n v="0"/>
    <n v="13562135.369999999"/>
    <n v="1627456.2443999997"/>
    <n v="15189591.614399999"/>
    <d v="2025-02-19T00:00:00"/>
    <x v="0"/>
    <x v="0"/>
    <x v="0"/>
  </r>
  <r>
    <x v="17"/>
    <n v="7"/>
    <n v="0"/>
    <n v="12507748.310000001"/>
    <n v="1500929.7971999999"/>
    <n v="14008678.1072"/>
    <d v="2025-03-19T00:00:00"/>
    <x v="0"/>
    <x v="0"/>
    <x v="0"/>
  </r>
  <r>
    <x v="17"/>
    <n v="8"/>
    <n v="0"/>
    <n v="15534246.42"/>
    <n v="1864109.57"/>
    <n v="17398355.989999998"/>
    <d v="2025-04-19T00:00:00"/>
    <x v="0"/>
    <x v="0"/>
    <x v="0"/>
  </r>
  <r>
    <x v="17"/>
    <n v="9"/>
    <n v="0"/>
    <n v="15534246.42"/>
    <n v="1864109.57"/>
    <n v="17398355.989999998"/>
    <d v="2025-05-19T00:00:00"/>
    <x v="0"/>
    <x v="0"/>
    <x v="0"/>
  </r>
  <r>
    <x v="17"/>
    <n v="10"/>
    <n v="0"/>
    <n v="15534246.42"/>
    <n v="1864109.57"/>
    <n v="17398355.989999998"/>
    <d v="2025-06-19T00:00:00"/>
    <x v="0"/>
    <x v="0"/>
    <x v="0"/>
  </r>
  <r>
    <x v="17"/>
    <n v="11"/>
    <n v="0"/>
    <n v="15534246.42"/>
    <n v="1864109.57"/>
    <n v="17398355.989999998"/>
    <d v="2025-07-19T00:00:00"/>
    <x v="0"/>
    <x v="0"/>
    <x v="0"/>
  </r>
  <r>
    <x v="17"/>
    <n v="12"/>
    <n v="1676094.54"/>
    <n v="15534246.42"/>
    <n v="1864109.57"/>
    <n v="19074450.529999997"/>
    <d v="2025-08-19T00:00:00"/>
    <x v="0"/>
    <x v="0"/>
    <x v="0"/>
  </r>
  <r>
    <x v="21"/>
    <n v="3"/>
    <n v="2500000"/>
    <n v="5558333.333333333"/>
    <n v="667000"/>
    <n v="8725333.3333333321"/>
    <d v="2024-06-27T00:00:00"/>
    <x v="6"/>
    <x v="0"/>
    <x v="0"/>
  </r>
  <r>
    <x v="13"/>
    <n v="3"/>
    <n v="1572056.25"/>
    <n v="6203313.1500000004"/>
    <n v="744397.58000000007"/>
    <n v="8519766.9800000004"/>
    <d v="2024-12-27T00:00:00"/>
    <x v="4"/>
    <x v="0"/>
    <x v="0"/>
  </r>
  <r>
    <x v="23"/>
    <n v="3"/>
    <m/>
    <n v="5390000"/>
    <n v="646800"/>
    <n v="6036800"/>
    <d v="2025-03-27T00:00:00"/>
    <x v="7"/>
    <x v="0"/>
    <x v="0"/>
  </r>
  <r>
    <x v="24"/>
    <n v="8"/>
    <n v="27777777.777777776"/>
    <n v="9339814.8148148116"/>
    <n v="1120777.7777777773"/>
    <n v="38238370.370370366"/>
    <d v="2025-11-28T00:00:00"/>
    <x v="4"/>
    <x v="0"/>
    <x v="0"/>
  </r>
  <r>
    <x v="1"/>
    <n v="39"/>
    <n v="498612.37357948697"/>
    <n v="863549.41020729882"/>
    <n v="103625.92922487586"/>
    <n v="1465787.7130116615"/>
    <d v="2025-11-30T00:00:00"/>
    <x v="0"/>
    <x v="0"/>
    <x v="0"/>
  </r>
  <r>
    <x v="2"/>
    <n v="4"/>
    <n v="0"/>
    <n v="8589041.0999999996"/>
    <n v="1030684.9399999995"/>
    <n v="9619726.0399999991"/>
    <d v="2024-11-02T00:00:00"/>
    <x v="1"/>
    <x v="0"/>
    <x v="0"/>
  </r>
  <r>
    <x v="25"/>
    <n v="2"/>
    <n v="0"/>
    <n v="9246575.3399999999"/>
    <n v="1110513.7"/>
    <n v="10357089.039999999"/>
    <d v="2025-12-18T00:00:00"/>
    <x v="0"/>
    <x v="0"/>
    <x v="0"/>
  </r>
  <r>
    <x v="4"/>
    <n v="4"/>
    <n v="0"/>
    <n v="17288767.120000001"/>
    <n v="2074652.0544"/>
    <n v="19363419.18"/>
    <d v="2025-03-04T00:00:00"/>
    <x v="1"/>
    <x v="0"/>
    <x v="0"/>
  </r>
  <r>
    <x v="26"/>
    <n v="3"/>
    <n v="0"/>
    <n v="7055136.9000000004"/>
    <n v="847321.93"/>
    <n v="7902458.8300000001"/>
    <d v="2025-12-09T00:00:00"/>
    <x v="0"/>
    <x v="0"/>
    <x v="0"/>
  </r>
  <r>
    <x v="27"/>
    <n v="5"/>
    <n v="0"/>
    <n v="9416095.8000000007"/>
    <n v="1130873.1100000001"/>
    <n v="10546968.91"/>
    <d v="2025-12-13T00:00:00"/>
    <x v="0"/>
    <x v="0"/>
    <x v="0"/>
  </r>
  <r>
    <x v="15"/>
    <n v="5"/>
    <n v="907552.54"/>
    <n v="4866957.03"/>
    <n v="584521.55000000005"/>
    <n v="6359031.1200000001"/>
    <d v="2025-12-17T00:00:00"/>
    <x v="0"/>
    <x v="0"/>
    <x v="0"/>
  </r>
  <r>
    <x v="9"/>
    <n v="4"/>
    <n v="11111111.109999999"/>
    <n v="4972031.96"/>
    <n v="596643.6799999997"/>
    <n v="16679786.75"/>
    <d v="2024-12-16T00:00:00"/>
    <x v="2"/>
    <x v="0"/>
    <x v="0"/>
  </r>
  <r>
    <x v="10"/>
    <n v="4"/>
    <n v="3454112.8979550712"/>
    <n v="10592906.74551085"/>
    <n v="1271148.8094613021"/>
    <n v="15318168.452927224"/>
    <d v="2025-02-17T00:00:00"/>
    <x v="3"/>
    <x v="0"/>
    <x v="0"/>
  </r>
  <r>
    <x v="11"/>
    <n v="4"/>
    <n v="0"/>
    <n v="2717808.22"/>
    <n v="326136.98"/>
    <n v="3043945.2"/>
    <d v="2025-02-17T00:00:00"/>
    <x v="1"/>
    <x v="0"/>
    <x v="0"/>
  </r>
  <r>
    <x v="18"/>
    <n v="4"/>
    <n v="2074851.43"/>
    <n v="7946735.7999999998"/>
    <n v="953608.3"/>
    <n v="10975195.529999999"/>
    <d v="2025-04-17T00:00:00"/>
    <x v="4"/>
    <x v="0"/>
    <x v="0"/>
  </r>
  <r>
    <x v="12"/>
    <n v="12"/>
    <n v="1337948.18"/>
    <n v="3845631.42"/>
    <n v="461475.77"/>
    <n v="5645055.3700000001"/>
    <d v="2025-12-17T00:00:00"/>
    <x v="4"/>
    <x v="0"/>
    <x v="0"/>
  </r>
  <r>
    <x v="14"/>
    <n v="9"/>
    <n v="10048279.793295985"/>
    <n v="12746954.301369375"/>
    <n v="1529634.5161643249"/>
    <n v="24324868.610829685"/>
    <d v="2025-12-17T00:00:00"/>
    <x v="0"/>
    <x v="0"/>
    <x v="0"/>
  </r>
  <r>
    <x v="5"/>
    <n v="10"/>
    <n v="10406022.289999999"/>
    <n v="12215874.939999999"/>
    <n v="1465904.99"/>
    <n v="24087802.219999995"/>
    <d v="2025-12-07T00:00:00"/>
    <x v="0"/>
    <x v="0"/>
    <x v="0"/>
  </r>
  <r>
    <x v="16"/>
    <n v="4"/>
    <n v="0"/>
    <n v="8835616.4399999995"/>
    <n v="1060273.9800000004"/>
    <n v="9895890.4199999999"/>
    <d v="2024-10-18T00:00:00"/>
    <x v="1"/>
    <x v="0"/>
    <x v="0"/>
  </r>
  <r>
    <x v="17"/>
    <n v="16"/>
    <n v="1907622.58"/>
    <n v="15302718.380000001"/>
    <n v="1836326.21"/>
    <n v="19046667.170000002"/>
    <d v="2025-12-19T00:00:00"/>
    <x v="0"/>
    <x v="0"/>
    <x v="0"/>
  </r>
  <r>
    <x v="0"/>
    <n v="17"/>
    <n v="508699.35"/>
    <n v="4080724.9"/>
    <n v="489686.98"/>
    <n v="5079111.2300000004"/>
    <d v="2025-12-19T00:00:00"/>
    <x v="0"/>
    <x v="0"/>
    <x v="0"/>
  </r>
  <r>
    <x v="22"/>
    <n v="9"/>
    <n v="27777777.777777776"/>
    <n v="11567908.3234127"/>
    <n v="1388149"/>
    <n v="40733835.100000001"/>
    <d v="2025-12-25T00:00:00"/>
    <x v="4"/>
    <x v="0"/>
    <x v="0"/>
  </r>
  <r>
    <x v="19"/>
    <n v="12"/>
    <n v="892456.17"/>
    <n v="4013861.12"/>
    <n v="481663.32"/>
    <n v="5387980.6100000003"/>
    <d v="2025-12-26T00:00:00"/>
    <x v="5"/>
    <x v="0"/>
    <x v="0"/>
  </r>
  <r>
    <x v="20"/>
    <n v="4"/>
    <n v="1820754.7832925916"/>
    <n v="6632428.984966835"/>
    <n v="795891.47819602024"/>
    <n v="9249075.2464554459"/>
    <d v="2024-10-27T00:00:00"/>
    <x v="5"/>
    <x v="0"/>
    <x v="0"/>
  </r>
  <r>
    <x v="21"/>
    <n v="4"/>
    <n v="2500000"/>
    <n v="5437500"/>
    <n v="652500"/>
    <n v="8590000"/>
    <d v="2024-07-27T00:00:00"/>
    <x v="6"/>
    <x v="0"/>
    <x v="0"/>
  </r>
  <r>
    <x v="13"/>
    <n v="4"/>
    <n v="1615987.36"/>
    <n v="6159382.04"/>
    <n v="739125.84000000008"/>
    <n v="8514495.2400000002"/>
    <d v="2025-01-27T00:00:00"/>
    <x v="4"/>
    <x v="0"/>
    <x v="0"/>
  </r>
  <r>
    <x v="23"/>
    <n v="4"/>
    <m/>
    <n v="5390000"/>
    <n v="646800"/>
    <n v="6036800"/>
    <d v="2025-04-27T00:00:00"/>
    <x v="7"/>
    <x v="0"/>
    <x v="0"/>
  </r>
  <r>
    <x v="24"/>
    <n v="9"/>
    <n v="27777777.777777776"/>
    <n v="11567908.3234127"/>
    <n v="1388149"/>
    <n v="40733835.100000001"/>
    <d v="2025-12-28T00:00:00"/>
    <x v="4"/>
    <x v="0"/>
    <x v="0"/>
  </r>
  <r>
    <x v="3"/>
    <n v="28"/>
    <n v="722445.75180573552"/>
    <n v="2009552.0990415125"/>
    <n v="241146.2518849815"/>
    <n v="2973144.1027322295"/>
    <d v="2025-12-02T00:00:00"/>
    <x v="0"/>
    <x v="0"/>
    <x v="0"/>
  </r>
  <r>
    <x v="2"/>
    <n v="5"/>
    <n v="0"/>
    <n v="7287671.2300000004"/>
    <n v="874520.54999999981"/>
    <n v="8162191.7800000003"/>
    <d v="2024-12-02T00:00:00"/>
    <x v="1"/>
    <x v="0"/>
    <x v="0"/>
  </r>
  <r>
    <x v="3"/>
    <n v="29"/>
    <n v="744119.12435990782"/>
    <n v="1987878.7264873402"/>
    <n v="238545.44717848083"/>
    <n v="2970543.2980257287"/>
    <d v="2026-01-02T00:00:00"/>
    <x v="0"/>
    <x v="0"/>
    <x v="0"/>
  </r>
  <r>
    <x v="4"/>
    <n v="5"/>
    <n v="0"/>
    <n v="17884931.510000002"/>
    <n v="2146191.7812000001"/>
    <n v="20031123.291200001"/>
    <d v="2025-04-04T00:00:00"/>
    <x v="1"/>
    <x v="0"/>
    <x v="0"/>
  </r>
  <r>
    <x v="5"/>
    <n v="11"/>
    <n v="10709650.060000001"/>
    <n v="11912247.17"/>
    <n v="1429469.66"/>
    <n v="24051366.890000001"/>
    <d v="2026-01-07T00:00:00"/>
    <x v="0"/>
    <x v="0"/>
    <x v="0"/>
  </r>
  <r>
    <x v="7"/>
    <n v="37"/>
    <n v="615444.8688968441"/>
    <n v="1168285.6567073287"/>
    <n v="122669.99395426951"/>
    <n v="1906400.5195584423"/>
    <d v="2026-01-12T00:00:00"/>
    <x v="0"/>
    <x v="0"/>
    <x v="0"/>
  </r>
  <r>
    <x v="8"/>
    <n v="6"/>
    <n v="0"/>
    <n v="9416095.8000000007"/>
    <n v="1130873.1100000001"/>
    <n v="10546968.91"/>
    <d v="2026-01-13T00:00:00"/>
    <x v="0"/>
    <x v="0"/>
    <x v="0"/>
  </r>
  <r>
    <x v="9"/>
    <n v="5"/>
    <n v="11111111.109999999"/>
    <n v="3692313.4285714291"/>
    <n v="443077.61142857146"/>
    <n v="15246502.15"/>
    <d v="2025-01-16T00:00:00"/>
    <x v="2"/>
    <x v="0"/>
    <x v="0"/>
  </r>
  <r>
    <x v="10"/>
    <n v="5"/>
    <n v="3540177.8776624501"/>
    <n v="10506841.765803471"/>
    <n v="1260821.0118964165"/>
    <n v="15307840.655362338"/>
    <d v="2025-03-17T00:00:00"/>
    <x v="3"/>
    <x v="0"/>
    <x v="0"/>
  </r>
  <r>
    <x v="11"/>
    <n v="5"/>
    <n v="0"/>
    <n v="2454794.52"/>
    <n v="294575.33999999985"/>
    <n v="2749369.86"/>
    <d v="2025-03-17T00:00:00"/>
    <x v="1"/>
    <x v="0"/>
    <x v="0"/>
  </r>
  <r>
    <x v="18"/>
    <n v="5"/>
    <n v="2132833.15"/>
    <n v="7888754.0800000001"/>
    <n v="946650.49"/>
    <n v="10968237.720000001"/>
    <d v="2025-05-17T00:00:00"/>
    <x v="4"/>
    <x v="0"/>
    <x v="0"/>
  </r>
  <r>
    <x v="12"/>
    <n v="13"/>
    <n v="1375337.14"/>
    <n v="3808242.46"/>
    <n v="456989.1"/>
    <n v="5640568.7000000002"/>
    <d v="2026-01-19T00:00:00"/>
    <x v="4"/>
    <x v="0"/>
    <x v="0"/>
  </r>
  <r>
    <x v="14"/>
    <n v="10"/>
    <n v="10346588.09965946"/>
    <n v="12448645.9950059"/>
    <n v="1493837.5194007079"/>
    <n v="24289071.614066068"/>
    <d v="2026-01-17T00:00:00"/>
    <x v="0"/>
    <x v="0"/>
    <x v="0"/>
  </r>
  <r>
    <x v="15"/>
    <n v="6"/>
    <n v="938042.57"/>
    <n v="4836467"/>
    <n v="580859.68999999994"/>
    <n v="6355369.2599999998"/>
    <d v="2026-01-17T00:00:00"/>
    <x v="0"/>
    <x v="0"/>
    <x v="0"/>
  </r>
  <r>
    <x v="16"/>
    <n v="5"/>
    <n v="0"/>
    <n v="9424657.5299999993"/>
    <n v="1130958.9000000004"/>
    <n v="10555616.43"/>
    <d v="2024-11-18T00:00:00"/>
    <x v="1"/>
    <x v="0"/>
    <x v="0"/>
  </r>
  <r>
    <x v="0"/>
    <n v="18"/>
    <n v="525423.71"/>
    <n v="4064000.54"/>
    <n v="487680.07"/>
    <n v="5077104.32"/>
    <d v="2026-01-19T00:00:00"/>
    <x v="0"/>
    <x v="0"/>
    <x v="0"/>
  </r>
  <r>
    <x v="17"/>
    <n v="17"/>
    <n v="1970338.94"/>
    <n v="15240002.02"/>
    <n v="1828800.24"/>
    <n v="19039141.199999999"/>
    <d v="2026-01-19T00:00:00"/>
    <x v="0"/>
    <x v="0"/>
    <x v="0"/>
  </r>
  <r>
    <x v="22"/>
    <n v="10"/>
    <n v="27777777.777777776"/>
    <n v="7557949.8234126978"/>
    <n v="906953.97880952363"/>
    <n v="-36242681.579999991"/>
    <d v="2026-01-25T00:00:00"/>
    <x v="4"/>
    <x v="0"/>
    <x v="0"/>
  </r>
  <r>
    <x v="19"/>
    <n v="13"/>
    <n v="917742.43"/>
    <n v="3988574.86"/>
    <n v="478628.98"/>
    <n v="5384946.2699999996"/>
    <d v="2026-01-26T00:00:00"/>
    <x v="5"/>
    <x v="0"/>
    <x v="0"/>
  </r>
  <r>
    <x v="20"/>
    <n v="5"/>
    <n v="1861721.7659166744"/>
    <n v="6591462.0023427522"/>
    <n v="790975.44028113026"/>
    <n v="9244159.208540557"/>
    <d v="2024-11-27T00:00:00"/>
    <x v="5"/>
    <x v="0"/>
    <x v="0"/>
  </r>
  <r>
    <x v="21"/>
    <n v="5"/>
    <n v="2500000"/>
    <n v="5316666.666666667"/>
    <n v="638000"/>
    <n v="8454666.6666666679"/>
    <d v="2024-08-27T00:00:00"/>
    <x v="6"/>
    <x v="0"/>
    <x v="0"/>
  </r>
  <r>
    <x v="13"/>
    <n v="5"/>
    <n v="1661146.13"/>
    <n v="6114223.2699999996"/>
    <n v="733706.79"/>
    <n v="8509076.1899999995"/>
    <d v="2025-02-27T00:00:00"/>
    <x v="4"/>
    <x v="0"/>
    <x v="0"/>
  </r>
  <r>
    <x v="23"/>
    <n v="5"/>
    <m/>
    <n v="5390000"/>
    <n v="646800"/>
    <n v="6036800"/>
    <d v="2025-05-27T00:00:00"/>
    <x v="7"/>
    <x v="0"/>
    <x v="0"/>
  </r>
  <r>
    <x v="24"/>
    <n v="10"/>
    <n v="27777777.777777776"/>
    <n v="7557949.8234126978"/>
    <n v="906953.97880952363"/>
    <n v="-36242681.579999991"/>
    <d v="2026-01-28T00:00:00"/>
    <x v="4"/>
    <x v="0"/>
    <x v="0"/>
  </r>
  <r>
    <x v="1"/>
    <n v="41"/>
    <n v="528977.8671304778"/>
    <n v="833183.91665630799"/>
    <n v="99982.069998756953"/>
    <n v="1462143.8537855428"/>
    <d v="2026-01-31T00:00:00"/>
    <x v="0"/>
    <x v="0"/>
    <x v="0"/>
  </r>
  <r>
    <x v="2"/>
    <n v="6"/>
    <n v="0"/>
    <n v="8068493.1500000004"/>
    <n v="968219.1799999997"/>
    <n v="9036712.3300000001"/>
    <d v="2025-01-02T00:00:00"/>
    <x v="1"/>
    <x v="0"/>
    <x v="0"/>
  </r>
  <r>
    <x v="3"/>
    <n v="30"/>
    <n v="766442.69809070486"/>
    <n v="1965555.1527565431"/>
    <n v="235866.61833078519"/>
    <n v="2967864.4691780331"/>
    <d v="2026-02-02T00:00:00"/>
    <x v="0"/>
    <x v="0"/>
    <x v="0"/>
  </r>
  <r>
    <x v="4"/>
    <n v="6"/>
    <n v="0"/>
    <n v="18481095.890000001"/>
    <n v="2217731.5099999979"/>
    <n v="20698827.399999999"/>
    <d v="2025-05-04T00:00:00"/>
    <x v="1"/>
    <x v="0"/>
    <x v="0"/>
  </r>
  <r>
    <x v="5"/>
    <n v="12"/>
    <n v="11022137.109999999"/>
    <n v="11599760.119999999"/>
    <n v="1391971.21"/>
    <n v="24013868.439999998"/>
    <d v="2026-02-07T00:00:00"/>
    <x v="0"/>
    <x v="0"/>
    <x v="0"/>
  </r>
  <r>
    <x v="7"/>
    <n v="38"/>
    <n v="633908.21496374928"/>
    <n v="1149822.3106404236"/>
    <n v="120731.34261724447"/>
    <n v="1904461.8682214173"/>
    <d v="2026-02-12T00:00:00"/>
    <x v="0"/>
    <x v="0"/>
    <x v="0"/>
  </r>
  <r>
    <x v="8"/>
    <n v="7"/>
    <n v="0"/>
    <n v="9416095.8000000007"/>
    <n v="1130873.1100000001"/>
    <n v="10546968.91"/>
    <d v="2026-02-13T00:00:00"/>
    <x v="0"/>
    <x v="0"/>
    <x v="0"/>
  </r>
  <r>
    <x v="9"/>
    <n v="6"/>
    <n v="11111111.109999999"/>
    <n v="4170091.32"/>
    <n v="500410.83000000007"/>
    <n v="15781613.26"/>
    <d v="2025-02-16T00:00:00"/>
    <x v="2"/>
    <x v="0"/>
    <x v="0"/>
  </r>
  <r>
    <x v="10"/>
    <n v="6"/>
    <n v="3628387.3097808734"/>
    <n v="10418632.333685048"/>
    <n v="1250235.8800422058"/>
    <n v="15297255.523508128"/>
    <d v="2025-04-17T00:00:00"/>
    <x v="3"/>
    <x v="0"/>
    <x v="0"/>
  </r>
  <r>
    <x v="11"/>
    <n v="6"/>
    <n v="0"/>
    <n v="2717808.22"/>
    <n v="326136.98"/>
    <n v="3043945.2"/>
    <d v="2025-04-17T00:00:00"/>
    <x v="1"/>
    <x v="0"/>
    <x v="0"/>
  </r>
  <r>
    <x v="18"/>
    <n v="6"/>
    <n v="2192435.1800000002"/>
    <n v="7829152.0499999998"/>
    <n v="939498.25"/>
    <n v="10961085.48"/>
    <d v="2025-06-17T00:00:00"/>
    <x v="4"/>
    <x v="0"/>
    <x v="0"/>
  </r>
  <r>
    <x v="12"/>
    <n v="14"/>
    <n v="1413770.94"/>
    <n v="3769808.66"/>
    <n v="452377.04"/>
    <n v="5635956.6399999997"/>
    <d v="2026-02-17T00:00:00"/>
    <x v="4"/>
    <x v="0"/>
    <x v="0"/>
  </r>
  <r>
    <x v="14"/>
    <n v="11"/>
    <n v="10653752.433868099"/>
    <n v="12141481.660797261"/>
    <n v="1456977.7992956713"/>
    <n v="24252211.893961031"/>
    <d v="2026-02-17T00:00:00"/>
    <x v="0"/>
    <x v="0"/>
    <x v="0"/>
  </r>
  <r>
    <x v="15"/>
    <n v="7"/>
    <n v="969556.95"/>
    <n v="4804952.62"/>
    <n v="577074.81999999995"/>
    <n v="6351584.3899999997"/>
    <d v="2026-02-17T00:00:00"/>
    <x v="0"/>
    <x v="0"/>
    <x v="0"/>
  </r>
  <r>
    <x v="16"/>
    <n v="6"/>
    <n v="0"/>
    <n v="8541095.8900000006"/>
    <n v="1024931.5099999998"/>
    <n v="9566027.4000000004"/>
    <d v="2024-12-18T00:00:00"/>
    <x v="1"/>
    <x v="0"/>
    <x v="0"/>
  </r>
  <r>
    <x v="0"/>
    <n v="19"/>
    <n v="542697.91"/>
    <n v="4046726.34"/>
    <n v="485607.17"/>
    <n v="5075031.42"/>
    <d v="2026-02-19T00:00:00"/>
    <x v="0"/>
    <x v="0"/>
    <x v="0"/>
  </r>
  <r>
    <x v="17"/>
    <n v="18"/>
    <n v="2035117.2"/>
    <n v="15175223.76"/>
    <n v="1821026.85"/>
    <n v="19031367.809999999"/>
    <d v="2026-02-19T00:00:00"/>
    <x v="0"/>
    <x v="0"/>
    <x v="0"/>
  </r>
  <r>
    <x v="22"/>
    <n v="11"/>
    <n v="27777777.777777776"/>
    <n v="6792592.5925925886"/>
    <n v="815111.11111111066"/>
    <n v="35385481.481481478"/>
    <d v="2026-02-25T00:00:00"/>
    <x v="4"/>
    <x v="0"/>
    <x v="0"/>
  </r>
  <r>
    <x v="19"/>
    <n v="14"/>
    <n v="943745.13"/>
    <n v="3962572.16"/>
    <n v="475508.65"/>
    <n v="5381825.9400000004"/>
    <d v="2026-02-26T00:00:00"/>
    <x v="5"/>
    <x v="0"/>
    <x v="0"/>
  </r>
  <r>
    <x v="4"/>
    <n v="7"/>
    <n v="0"/>
    <n v="17884931.510000002"/>
    <n v="2146191.7799999975"/>
    <n v="20031123.289999999"/>
    <d v="2025-06-04T00:00:00"/>
    <x v="1"/>
    <x v="0"/>
    <x v="0"/>
  </r>
  <r>
    <x v="4"/>
    <n v="8"/>
    <n v="0"/>
    <n v="17884931.510000002"/>
    <n v="2146191.7799999975"/>
    <n v="20031123.289999999"/>
    <d v="2025-07-04T00:00:00"/>
    <x v="1"/>
    <x v="0"/>
    <x v="0"/>
  </r>
  <r>
    <x v="4"/>
    <n v="9"/>
    <n v="0"/>
    <n v="18481095.890000001"/>
    <n v="2217731.5099999979"/>
    <n v="20698827.399999999"/>
    <d v="2025-08-04T00:00:00"/>
    <x v="1"/>
    <x v="0"/>
    <x v="0"/>
  </r>
  <r>
    <x v="4"/>
    <n v="10"/>
    <n v="0"/>
    <n v="18481095.890000001"/>
    <n v="2217731.5099999979"/>
    <n v="20698827.399999999"/>
    <d v="2025-09-04T00:00:00"/>
    <x v="1"/>
    <x v="0"/>
    <x v="0"/>
  </r>
  <r>
    <x v="4"/>
    <n v="11"/>
    <n v="0"/>
    <n v="19077260.27"/>
    <n v="2289271.2300000004"/>
    <n v="21366531.5"/>
    <d v="2025-10-04T00:00:00"/>
    <x v="1"/>
    <x v="0"/>
    <x v="0"/>
  </r>
  <r>
    <x v="4"/>
    <n v="12"/>
    <n v="0"/>
    <n v="17288767.120000001"/>
    <n v="2074652.0599999987"/>
    <n v="19363419.18"/>
    <d v="2025-11-04T00:00:00"/>
    <x v="1"/>
    <x v="0"/>
    <x v="0"/>
  </r>
  <r>
    <x v="11"/>
    <n v="7"/>
    <n v="0"/>
    <n v="2454794.52"/>
    <n v="294575.34000000003"/>
    <n v="2749369.86"/>
    <d v="2025-05-17T00:00:00"/>
    <x v="1"/>
    <x v="0"/>
    <x v="0"/>
  </r>
  <r>
    <x v="4"/>
    <n v="13"/>
    <n v="14166666.67"/>
    <n v="17884931.510000002"/>
    <n v="2146191.7799999993"/>
    <n v="34197789.960000001"/>
    <d v="2025-12-04T00:00:00"/>
    <x v="1"/>
    <x v="0"/>
    <x v="0"/>
  </r>
  <r>
    <x v="4"/>
    <n v="14"/>
    <n v="14166666.67"/>
    <n v="18679817.350000001"/>
    <n v="2241578.08"/>
    <n v="35088062.100000001"/>
    <d v="2026-01-05T00:00:00"/>
    <x v="1"/>
    <x v="0"/>
    <x v="0"/>
  </r>
  <r>
    <x v="20"/>
    <n v="6"/>
    <n v="1903610.5056497995"/>
    <n v="6549573.2626096271"/>
    <n v="785948.79151315521"/>
    <n v="9239132.5597725809"/>
    <d v="2024-12-27T00:00:00"/>
    <x v="5"/>
    <x v="0"/>
    <x v="0"/>
  </r>
  <r>
    <x v="21"/>
    <n v="6"/>
    <n v="2500000"/>
    <n v="5195833.333333333"/>
    <n v="623500"/>
    <n v="8319333.333333333"/>
    <d v="2024-09-27T00:00:00"/>
    <x v="6"/>
    <x v="0"/>
    <x v="0"/>
  </r>
  <r>
    <x v="13"/>
    <n v="6"/>
    <n v="1707566.86"/>
    <n v="6067802.54"/>
    <n v="728136.31000000075"/>
    <n v="8503505.7100000009"/>
    <d v="2025-03-27T00:00:00"/>
    <x v="4"/>
    <x v="0"/>
    <x v="0"/>
  </r>
  <r>
    <x v="23"/>
    <n v="6"/>
    <m/>
    <n v="5390000"/>
    <n v="646800"/>
    <n v="6036800"/>
    <d v="2025-06-27T00:00:00"/>
    <x v="7"/>
    <x v="0"/>
    <x v="0"/>
  </r>
  <r>
    <x v="1"/>
    <n v="42"/>
    <n v="544847.20314439212"/>
    <n v="817314.58064239367"/>
    <n v="98077.749677087239"/>
    <n v="1460239.533463873"/>
    <d v="2026-02-28T00:00:00"/>
    <x v="0"/>
    <x v="0"/>
    <x v="0"/>
  </r>
  <r>
    <x v="24"/>
    <n v="11"/>
    <n v="27777777.777777776"/>
    <n v="6792592.5925925886"/>
    <n v="815111.11111111066"/>
    <n v="35385481.481481478"/>
    <d v="2026-02-28T00:00:00"/>
    <x v="4"/>
    <x v="0"/>
    <x v="0"/>
  </r>
  <r>
    <x v="2"/>
    <n v="7"/>
    <n v="0"/>
    <n v="8328767.1200000001"/>
    <n v="999452.05999999959"/>
    <n v="9328219.1799999997"/>
    <d v="2025-02-02T00:00:00"/>
    <x v="1"/>
    <x v="0"/>
    <x v="0"/>
  </r>
  <r>
    <x v="3"/>
    <n v="31"/>
    <n v="789435.97903342592"/>
    <n v="1942561.8718138221"/>
    <n v="233107.42461765866"/>
    <n v="2965105.2754649068"/>
    <d v="2026-03-02T00:00:00"/>
    <x v="0"/>
    <x v="0"/>
    <x v="0"/>
  </r>
  <r>
    <x v="4"/>
    <n v="15"/>
    <n v="14166666.67"/>
    <n v="17139726.030000001"/>
    <n v="2056767.1199999992"/>
    <n v="33363159.82"/>
    <d v="2026-02-04T00:00:00"/>
    <x v="1"/>
    <x v="0"/>
    <x v="0"/>
  </r>
  <r>
    <x v="5"/>
    <n v="13"/>
    <n v="11343741.93"/>
    <n v="11278155.300000001"/>
    <n v="1353378.64"/>
    <n v="23975275.870000001"/>
    <d v="2026-03-07T00:00:00"/>
    <x v="0"/>
    <x v="0"/>
    <x v="0"/>
  </r>
  <r>
    <x v="7"/>
    <n v="39"/>
    <n v="652925.46141266171"/>
    <n v="1130805.0641915111"/>
    <n v="118734.53174010866"/>
    <n v="1902465.0573442816"/>
    <d v="2026-03-12T00:00:00"/>
    <x v="0"/>
    <x v="0"/>
    <x v="0"/>
  </r>
  <r>
    <x v="8"/>
    <n v="8"/>
    <n v="0"/>
    <n v="9416095.8000000007"/>
    <n v="1130873.1100000001"/>
    <n v="10546968.91"/>
    <d v="2026-03-13T00:00:00"/>
    <x v="0"/>
    <x v="0"/>
    <x v="0"/>
  </r>
  <r>
    <x v="10"/>
    <n v="7"/>
    <n v="3718794.6269162465"/>
    <n v="10336348.279539064"/>
    <n v="1240361.7935446876"/>
    <n v="15295504.699999999"/>
    <d v="2025-05-17T00:00:00"/>
    <x v="3"/>
    <x v="0"/>
    <x v="0"/>
  </r>
  <r>
    <x v="11"/>
    <n v="8"/>
    <n v="0"/>
    <n v="2542465.75"/>
    <n v="305095.89000000013"/>
    <n v="2847561.64"/>
    <d v="2025-06-17T00:00:00"/>
    <x v="1"/>
    <x v="0"/>
    <x v="0"/>
  </r>
  <r>
    <x v="18"/>
    <n v="7"/>
    <n v="2253702.7799999998"/>
    <n v="7767884.4500000002"/>
    <n v="932146.14"/>
    <n v="10953733.369999999"/>
    <d v="2025-07-17T00:00:00"/>
    <x v="4"/>
    <x v="0"/>
    <x v="0"/>
  </r>
  <r>
    <x v="12"/>
    <n v="15"/>
    <n v="1453278.76"/>
    <n v="3730300.84"/>
    <n v="447636.1"/>
    <n v="5631215.7000000002"/>
    <d v="2026-03-17T00:00:00"/>
    <x v="4"/>
    <x v="0"/>
    <x v="0"/>
  </r>
  <r>
    <x v="14"/>
    <n v="12"/>
    <n v="10970035.70924856"/>
    <n v="11825198.3854168"/>
    <n v="1419023.806250016"/>
    <n v="24214257.900915377"/>
    <d v="2026-03-17T00:00:00"/>
    <x v="0"/>
    <x v="0"/>
    <x v="0"/>
  </r>
  <r>
    <x v="15"/>
    <n v="8"/>
    <n v="1002130.07"/>
    <n v="4772379.5"/>
    <n v="573162.78"/>
    <n v="6347672.3499999996"/>
    <d v="2026-03-17T00:00:00"/>
    <x v="0"/>
    <x v="0"/>
    <x v="0"/>
  </r>
  <r>
    <x v="16"/>
    <n v="7"/>
    <n v="0"/>
    <n v="9719178.0800000001"/>
    <n v="1166301.3699999992"/>
    <n v="10885479.449999999"/>
    <d v="2025-01-18T00:00:00"/>
    <x v="1"/>
    <x v="0"/>
    <x v="0"/>
  </r>
  <r>
    <x v="0"/>
    <n v="20"/>
    <n v="560540.04"/>
    <n v="4028884.21"/>
    <n v="483466.1"/>
    <n v="5072890.3499999996"/>
    <d v="2026-03-19T00:00:00"/>
    <x v="0"/>
    <x v="0"/>
    <x v="0"/>
  </r>
  <r>
    <x v="17"/>
    <n v="19"/>
    <n v="2102025.16"/>
    <n v="15108315.800000001"/>
    <n v="1812997.9"/>
    <n v="19023338.859999999"/>
    <d v="2026-03-19T00:00:00"/>
    <x v="0"/>
    <x v="0"/>
    <x v="0"/>
  </r>
  <r>
    <x v="22"/>
    <n v="12"/>
    <n v="27777777.777777776"/>
    <n v="5943518.518518514"/>
    <n v="713222.22222222167"/>
    <n v="34434518.518518515"/>
    <d v="2026-03-25T00:00:00"/>
    <x v="4"/>
    <x v="0"/>
    <x v="0"/>
  </r>
  <r>
    <x v="19"/>
    <n v="15"/>
    <n v="970484.57"/>
    <n v="3935832.72"/>
    <n v="472299.92"/>
    <n v="5378617.21"/>
    <d v="2026-03-26T00:00:00"/>
    <x v="5"/>
    <x v="0"/>
    <x v="0"/>
  </r>
  <r>
    <x v="20"/>
    <n v="7"/>
    <n v="1946441.7420269195"/>
    <n v="6506742.0262325071"/>
    <n v="780809.04314790084"/>
    <n v="9233992.8114073277"/>
    <d v="2025-01-27T00:00:00"/>
    <x v="5"/>
    <x v="0"/>
    <x v="0"/>
  </r>
  <r>
    <x v="21"/>
    <n v="7"/>
    <n v="2500000"/>
    <n v="2589041.1071428573"/>
    <n v="310684.93285714288"/>
    <n v="5399726.04"/>
    <d v="2024-10-27T00:00:00"/>
    <x v="6"/>
    <x v="0"/>
    <x v="0"/>
  </r>
  <r>
    <x v="13"/>
    <n v="7"/>
    <n v="1755284.81"/>
    <n v="6020084.5899999999"/>
    <n v="722410.15000000084"/>
    <n v="8497779.5500000007"/>
    <d v="2025-04-27T00:00:00"/>
    <x v="4"/>
    <x v="0"/>
    <x v="0"/>
  </r>
  <r>
    <x v="23"/>
    <n v="7"/>
    <m/>
    <n v="5390000"/>
    <n v="646800"/>
    <n v="6036800"/>
    <d v="2025-07-27T00:00:00"/>
    <x v="7"/>
    <x v="0"/>
    <x v="0"/>
  </r>
  <r>
    <x v="24"/>
    <n v="12"/>
    <n v="27777777.777777776"/>
    <n v="5943518.518518514"/>
    <n v="713222.22222222167"/>
    <n v="34434518.518518515"/>
    <d v="2026-03-28T00:00:00"/>
    <x v="4"/>
    <x v="0"/>
    <x v="0"/>
  </r>
  <r>
    <x v="1"/>
    <n v="43"/>
    <n v="561192.61923872388"/>
    <n v="800969.1645480619"/>
    <n v="96116.299745767421"/>
    <n v="1458278.0835325532"/>
    <d v="2026-03-31T00:00:00"/>
    <x v="0"/>
    <x v="0"/>
    <x v="0"/>
  </r>
  <r>
    <x v="2"/>
    <n v="8"/>
    <n v="0"/>
    <n v="7808219.1799999997"/>
    <n v="936986.30159999989"/>
    <n v="8745205.4800000004"/>
    <d v="2025-03-02T00:00:00"/>
    <x v="1"/>
    <x v="0"/>
    <x v="0"/>
  </r>
  <r>
    <x v="3"/>
    <n v="32"/>
    <n v="813119.05840442865"/>
    <n v="1918878.7924428193"/>
    <n v="230265.45509313833"/>
    <n v="2962263.3059403864"/>
    <d v="2026-04-02T00:00:00"/>
    <x v="0"/>
    <x v="0"/>
    <x v="0"/>
  </r>
  <r>
    <x v="4"/>
    <n v="16"/>
    <n v="14166666.67"/>
    <n v="15649315.07"/>
    <n v="1877917.8100000005"/>
    <n v="31693899.550000001"/>
    <d v="2026-03-04T00:00:00"/>
    <x v="1"/>
    <x v="0"/>
    <x v="0"/>
  </r>
  <r>
    <x v="5"/>
    <n v="14"/>
    <n v="11674730.560000001"/>
    <n v="10947166.67"/>
    <n v="1313660"/>
    <n v="23935557.23"/>
    <d v="2026-04-07T00:00:00"/>
    <x v="0"/>
    <x v="0"/>
    <x v="0"/>
  </r>
  <r>
    <x v="7"/>
    <n v="40"/>
    <n v="672513.22525504162"/>
    <n v="1111217.3003491312"/>
    <n v="116677.81653665878"/>
    <n v="1900408.3421408315"/>
    <d v="2026-04-12T00:00:00"/>
    <x v="0"/>
    <x v="0"/>
    <x v="0"/>
  </r>
  <r>
    <x v="8"/>
    <n v="9"/>
    <n v="0"/>
    <n v="9416095.8000000007"/>
    <n v="1130873.1100000001"/>
    <n v="10546968.91"/>
    <d v="2026-04-13T00:00:00"/>
    <x v="0"/>
    <x v="0"/>
    <x v="0"/>
  </r>
  <r>
    <x v="10"/>
    <n v="8"/>
    <n v="3811454.5930369087"/>
    <n v="10235565.050429013"/>
    <n v="1228267.8060514815"/>
    <n v="15275287.449517403"/>
    <d v="2025-06-17T00:00:00"/>
    <x v="3"/>
    <x v="0"/>
    <x v="0"/>
  </r>
  <r>
    <x v="11"/>
    <n v="9"/>
    <n v="0"/>
    <n v="2630136.9900000002"/>
    <n v="315616.4299999997"/>
    <n v="2945753.42"/>
    <d v="2025-07-17T00:00:00"/>
    <x v="1"/>
    <x v="0"/>
    <x v="0"/>
  </r>
  <r>
    <x v="18"/>
    <n v="8"/>
    <n v="2316682.5"/>
    <n v="7704904.7300000004"/>
    <n v="924588.57"/>
    <n v="10946175.800000001"/>
    <d v="2025-08-17T00:00:00"/>
    <x v="4"/>
    <x v="0"/>
    <x v="0"/>
  </r>
  <r>
    <x v="12"/>
    <n v="16"/>
    <n v="1493890.64"/>
    <n v="3689688.96"/>
    <n v="442762.67"/>
    <n v="5626342.2699999996"/>
    <d v="2026-04-17T00:00:00"/>
    <x v="4"/>
    <x v="0"/>
    <x v="0"/>
  </r>
  <r>
    <x v="14"/>
    <n v="13"/>
    <n v="11295708.644366875"/>
    <n v="11499525.450298484"/>
    <n v="1379943.0540358182"/>
    <n v="24175177.148701176"/>
    <d v="2026-04-17T00:00:00"/>
    <x v="0"/>
    <x v="0"/>
    <x v="0"/>
  </r>
  <r>
    <x v="15"/>
    <n v="9"/>
    <n v="1035797.53"/>
    <n v="4738712.04"/>
    <n v="569119.31000000006"/>
    <n v="6343628.8799999999"/>
    <d v="2026-04-17T00:00:00"/>
    <x v="0"/>
    <x v="0"/>
    <x v="0"/>
  </r>
  <r>
    <x v="16"/>
    <n v="8"/>
    <n v="0"/>
    <n v="8541095.8900000006"/>
    <n v="1024931.5099999998"/>
    <n v="9566027.4000000004"/>
    <d v="2025-02-18T00:00:00"/>
    <x v="1"/>
    <x v="0"/>
    <x v="0"/>
  </r>
  <r>
    <x v="0"/>
    <n v="21"/>
    <n v="578968.75"/>
    <n v="4010455.5"/>
    <n v="481254.66"/>
    <n v="5070678.91"/>
    <d v="2026-04-19T00:00:00"/>
    <x v="0"/>
    <x v="0"/>
    <x v="0"/>
  </r>
  <r>
    <x v="17"/>
    <n v="20"/>
    <n v="2171132.84"/>
    <n v="15039208.119999999"/>
    <n v="1804704.97"/>
    <n v="19015045.93"/>
    <d v="2026-04-19T00:00:00"/>
    <x v="0"/>
    <x v="0"/>
    <x v="0"/>
  </r>
  <r>
    <x v="22"/>
    <n v="13"/>
    <n v="27777777.777777776"/>
    <n v="5094444.4444444394"/>
    <n v="611333.33333333267"/>
    <n v="33483555.555555549"/>
    <d v="2026-04-25T00:00:00"/>
    <x v="4"/>
    <x v="1"/>
    <x v="0"/>
  </r>
  <r>
    <x v="19"/>
    <n v="16"/>
    <n v="997981.64"/>
    <n v="3908335.65"/>
    <n v="469000.27"/>
    <n v="5375317.5599999996"/>
    <d v="2026-04-26T00:00:00"/>
    <x v="5"/>
    <x v="1"/>
    <x v="0"/>
  </r>
  <r>
    <x v="20"/>
    <n v="8"/>
    <n v="1990236.6812225254"/>
    <n v="6462947.0870369012"/>
    <n v="775553.65044442809"/>
    <n v="9228737.4187038541"/>
    <d v="2025-02-27T00:00:00"/>
    <x v="5"/>
    <x v="0"/>
    <x v="0"/>
  </r>
  <r>
    <x v="21"/>
    <n v="8"/>
    <n v="2500000"/>
    <n v="2527397.2712585032"/>
    <n v="303287.6725510204"/>
    <n v="5330684.9438095232"/>
    <d v="2024-11-27T00:00:00"/>
    <x v="6"/>
    <x v="0"/>
    <x v="0"/>
  </r>
  <r>
    <x v="13"/>
    <n v="8"/>
    <n v="1804336.25"/>
    <n v="5971033.1500000004"/>
    <n v="716523.98000000045"/>
    <n v="8491893.3800000008"/>
    <d v="2025-05-27T00:00:00"/>
    <x v="4"/>
    <x v="0"/>
    <x v="0"/>
  </r>
  <r>
    <x v="23"/>
    <n v="8"/>
    <m/>
    <n v="5390000"/>
    <n v="646800"/>
    <n v="6036800"/>
    <d v="2025-08-27T00:00:00"/>
    <x v="7"/>
    <x v="0"/>
    <x v="0"/>
  </r>
  <r>
    <x v="24"/>
    <n v="13"/>
    <n v="27777777.777777776"/>
    <n v="5094444.4444444394"/>
    <n v="611333.33333333267"/>
    <n v="33483555.555555549"/>
    <d v="2026-04-28T00:00:00"/>
    <x v="4"/>
    <x v="1"/>
    <x v="0"/>
  </r>
  <r>
    <x v="20"/>
    <n v="9"/>
    <n v="2035017.0065500317"/>
    <n v="6418166.7617093949"/>
    <n v="770180.01140512736"/>
    <n v="9223363.7796645537"/>
    <d v="2025-03-27T00:00:00"/>
    <x v="5"/>
    <x v="0"/>
    <x v="0"/>
  </r>
  <r>
    <x v="20"/>
    <n v="10"/>
    <n v="2080804.8891974073"/>
    <n v="6372378.8790620193"/>
    <n v="764685.46548744233"/>
    <n v="9217869.2337468695"/>
    <d v="2025-04-27T00:00:00"/>
    <x v="5"/>
    <x v="0"/>
    <x v="0"/>
  </r>
  <r>
    <x v="20"/>
    <n v="11"/>
    <n v="2127622.9992043488"/>
    <n v="6325560.7690550778"/>
    <n v="759067.2922866093"/>
    <n v="9212251.0605460368"/>
    <d v="2025-05-27T00:00:00"/>
    <x v="5"/>
    <x v="0"/>
    <x v="0"/>
  </r>
  <r>
    <x v="20"/>
    <n v="12"/>
    <n v="2175494.516686447"/>
    <n v="6277689.2515729796"/>
    <n v="753322.71018875751"/>
    <n v="9206506.4784481842"/>
    <d v="2025-06-27T00:00:00"/>
    <x v="5"/>
    <x v="0"/>
    <x v="0"/>
  </r>
  <r>
    <x v="20"/>
    <n v="13"/>
    <n v="2224443.1433118917"/>
    <n v="6228740.6249475349"/>
    <n v="747448.87499370414"/>
    <n v="9200632.6432531308"/>
    <d v="2025-07-27T00:00:00"/>
    <x v="5"/>
    <x v="0"/>
    <x v="0"/>
  </r>
  <r>
    <x v="20"/>
    <n v="14"/>
    <n v="2274493.1140364092"/>
    <n v="6178690.6542230174"/>
    <n v="741442.87850676209"/>
    <n v="9194626.6467661895"/>
    <d v="2025-08-27T00:00:00"/>
    <x v="5"/>
    <x v="0"/>
    <x v="0"/>
  </r>
  <r>
    <x v="20"/>
    <n v="15"/>
    <n v="2325669.2091022283"/>
    <n v="6127514.5591571983"/>
    <n v="735301.74709886382"/>
    <n v="9188485.5153582897"/>
    <d v="2025-09-27T00:00:00"/>
    <x v="5"/>
    <x v="0"/>
    <x v="0"/>
  </r>
  <r>
    <x v="20"/>
    <n v="16"/>
    <n v="2377996.766307028"/>
    <n v="6075187.0019523986"/>
    <n v="729022.44023428787"/>
    <n v="9182206.2084937152"/>
    <d v="2025-10-27T00:00:00"/>
    <x v="5"/>
    <x v="0"/>
    <x v="0"/>
  </r>
  <r>
    <x v="20"/>
    <n v="17"/>
    <n v="2431501.6935489364"/>
    <n v="6021682.0747104902"/>
    <n v="722601.8489652588"/>
    <n v="9175785.6172246858"/>
    <d v="2025-11-27T00:00:00"/>
    <x v="5"/>
    <x v="0"/>
    <x v="0"/>
  </r>
  <r>
    <x v="20"/>
    <n v="18"/>
    <n v="2486210.4816537872"/>
    <n v="5997919.3824519748"/>
    <n v="719750.33"/>
    <n v="9203880.1899999976"/>
    <d v="2025-12-27T00:00:00"/>
    <x v="5"/>
    <x v="0"/>
    <x v="0"/>
  </r>
  <r>
    <x v="20"/>
    <n v="19"/>
    <n v="2542150.2174909972"/>
    <n v="5911033.5507684294"/>
    <n v="709324.02609221148"/>
    <n v="9162507.7943516374"/>
    <d v="2026-01-27T00:00:00"/>
    <x v="5"/>
    <x v="0"/>
    <x v="0"/>
  </r>
  <r>
    <x v="20"/>
    <n v="20"/>
    <n v="2599348.597384545"/>
    <n v="5853835.1708748816"/>
    <n v="702460.22050498577"/>
    <n v="9155643.9887644127"/>
    <d v="2026-02-27T00:00:00"/>
    <x v="5"/>
    <x v="0"/>
    <x v="0"/>
  </r>
  <r>
    <x v="20"/>
    <n v="21"/>
    <n v="2657833.940825697"/>
    <n v="5795349.8274337295"/>
    <n v="695441.97929204756"/>
    <n v="9148625.7475514747"/>
    <d v="2026-03-27T00:00:00"/>
    <x v="5"/>
    <x v="0"/>
    <x v="0"/>
  </r>
  <r>
    <x v="20"/>
    <n v="22"/>
    <n v="2717635.2044942752"/>
    <n v="5735548.5637651514"/>
    <n v="688265.82765181817"/>
    <n v="9141449.5959112439"/>
    <d v="2026-04-27T00:00:00"/>
    <x v="5"/>
    <x v="1"/>
    <x v="0"/>
  </r>
  <r>
    <x v="1"/>
    <n v="44"/>
    <n v="578028.3978158856"/>
    <n v="784133.38597090018"/>
    <n v="94096.006316508021"/>
    <n v="1456257.7901032937"/>
    <d v="2026-04-30T00:00:00"/>
    <x v="0"/>
    <x v="1"/>
    <x v="0"/>
  </r>
  <r>
    <x v="2"/>
    <n v="9"/>
    <n v="0"/>
    <n v="7547945.21"/>
    <n v="905753.42519999994"/>
    <n v="8453698.6351999994"/>
    <d v="2025-04-02T00:00:00"/>
    <x v="1"/>
    <x v="0"/>
    <x v="0"/>
  </r>
  <r>
    <x v="3"/>
    <n v="33"/>
    <n v="837512.63015656173"/>
    <n v="1894485.2206906863"/>
    <n v="227338.22648288234"/>
    <n v="2959336.0773301302"/>
    <d v="2026-05-02T00:00:00"/>
    <x v="0"/>
    <x v="1"/>
    <x v="0"/>
  </r>
  <r>
    <x v="4"/>
    <n v="17"/>
    <n v="14166666.67"/>
    <n v="18033972.600000001"/>
    <n v="2164076.7099999953"/>
    <n v="34364715.979999997"/>
    <d v="2026-04-04T00:00:00"/>
    <x v="1"/>
    <x v="0"/>
    <x v="0"/>
  </r>
  <r>
    <x v="5"/>
    <n v="15"/>
    <n v="12015376.810000001"/>
    <n v="10606520.42"/>
    <n v="1272782.45"/>
    <n v="23894679.68"/>
    <d v="2026-05-07T00:00:00"/>
    <x v="0"/>
    <x v="1"/>
    <x v="0"/>
  </r>
  <r>
    <x v="7"/>
    <n v="41"/>
    <n v="692688.62201269297"/>
    <n v="1091041.9035914799"/>
    <n v="114559.39987710539"/>
    <n v="1898289.9254812782"/>
    <d v="2026-05-12T00:00:00"/>
    <x v="0"/>
    <x v="1"/>
    <x v="0"/>
  </r>
  <r>
    <x v="8"/>
    <n v="10"/>
    <n v="0"/>
    <n v="9416095.8000000007"/>
    <n v="1130873.1100000001"/>
    <n v="10546968.91"/>
    <d v="2026-05-13T00:00:00"/>
    <x v="0"/>
    <x v="1"/>
    <x v="0"/>
  </r>
  <r>
    <x v="10"/>
    <n v="9"/>
    <n v="3906423.336646745"/>
    <n v="10140596.306819176"/>
    <n v="1216871.5568183011"/>
    <n v="15263891.200284222"/>
    <d v="2025-07-17T00:00:00"/>
    <x v="3"/>
    <x v="0"/>
    <x v="0"/>
  </r>
  <r>
    <x v="11"/>
    <n v="10"/>
    <n v="0"/>
    <n v="2805479.45"/>
    <n v="336657.5299999998"/>
    <n v="3142136.98"/>
    <d v="2025-08-17T00:00:00"/>
    <x v="1"/>
    <x v="0"/>
    <x v="0"/>
  </r>
  <r>
    <x v="18"/>
    <n v="9"/>
    <n v="2381422.19"/>
    <n v="7640165.04"/>
    <n v="916819.81"/>
    <n v="10938407.039999999"/>
    <d v="2025-09-17T00:00:00"/>
    <x v="4"/>
    <x v="0"/>
    <x v="0"/>
  </r>
  <r>
    <x v="12"/>
    <n v="17"/>
    <n v="1535637.41"/>
    <n v="3647942.19"/>
    <n v="437753.06"/>
    <n v="5621332.6600000001"/>
    <d v="2026-05-17T00:00:00"/>
    <x v="4"/>
    <x v="1"/>
    <x v="0"/>
  </r>
  <r>
    <x v="14"/>
    <n v="14"/>
    <n v="11631049.994746517"/>
    <n v="11164184.099918842"/>
    <n v="1339702.0919902611"/>
    <n v="24134936.186655622"/>
    <d v="2026-05-17T00:00:00"/>
    <x v="0"/>
    <x v="1"/>
    <x v="0"/>
  </r>
  <r>
    <x v="15"/>
    <n v="10"/>
    <n v="1070596.07"/>
    <n v="4703913.5"/>
    <n v="564940.01"/>
    <n v="6339449.5800000001"/>
    <d v="2026-05-17T00:00:00"/>
    <x v="0"/>
    <x v="1"/>
    <x v="0"/>
  </r>
  <r>
    <x v="16"/>
    <n v="9"/>
    <n v="0"/>
    <n v="8246575.3399999999"/>
    <n v="989589.04079999996"/>
    <n v="9236164.3800000008"/>
    <d v="2025-03-18T00:00:00"/>
    <x v="1"/>
    <x v="0"/>
    <x v="0"/>
  </r>
  <r>
    <x v="0"/>
    <n v="22"/>
    <n v="598003.34"/>
    <n v="3991420.91"/>
    <n v="478970.51"/>
    <n v="5068394.76"/>
    <d v="2026-05-19T00:00:00"/>
    <x v="0"/>
    <x v="1"/>
    <x v="0"/>
  </r>
  <r>
    <x v="17"/>
    <n v="21"/>
    <n v="2242512.5499999998"/>
    <n v="14967828.41"/>
    <n v="1796139.41"/>
    <n v="19006480.370000001"/>
    <d v="2026-05-19T00:00:00"/>
    <x v="0"/>
    <x v="1"/>
    <x v="0"/>
  </r>
  <r>
    <x v="22"/>
    <n v="14"/>
    <n v="27777777.777777776"/>
    <n v="4245370.3703703647"/>
    <n v="509444.4444444438"/>
    <n v="32532592.592592586"/>
    <d v="2026-05-25T00:00:00"/>
    <x v="4"/>
    <x v="1"/>
    <x v="0"/>
  </r>
  <r>
    <x v="19"/>
    <n v="17"/>
    <n v="1026257.78"/>
    <n v="3880059.51"/>
    <n v="465607.13"/>
    <n v="5371924.4199999999"/>
    <d v="2026-05-26T00:00:00"/>
    <x v="5"/>
    <x v="1"/>
    <x v="0"/>
  </r>
  <r>
    <x v="20"/>
    <n v="23"/>
    <n v="2778781.9965953967"/>
    <n v="5674401.7716640299"/>
    <n v="680928.21259968355"/>
    <n v="9134111.9808591101"/>
    <d v="2026-05-27T00:00:00"/>
    <x v="5"/>
    <x v="1"/>
    <x v="0"/>
  </r>
  <r>
    <x v="21"/>
    <n v="9"/>
    <n v="2500000"/>
    <n v="2465753.4353741491"/>
    <n v="295890.41224489786"/>
    <n v="5261643.8476190474"/>
    <d v="2024-12-27T00:00:00"/>
    <x v="6"/>
    <x v="0"/>
    <x v="0"/>
  </r>
  <r>
    <x v="13"/>
    <n v="9"/>
    <n v="1854758.42"/>
    <n v="5920610.9800000004"/>
    <n v="710473.31000000052"/>
    <n v="8485842.7100000009"/>
    <d v="2025-06-27T00:00:00"/>
    <x v="4"/>
    <x v="0"/>
    <x v="0"/>
  </r>
  <r>
    <x v="23"/>
    <n v="9"/>
    <m/>
    <n v="5390000"/>
    <n v="646800"/>
    <n v="6036800"/>
    <d v="2025-09-27T00:00:00"/>
    <x v="7"/>
    <x v="0"/>
    <x v="0"/>
  </r>
  <r>
    <x v="24"/>
    <n v="14"/>
    <n v="27777777.777777776"/>
    <n v="4245370.3703703647"/>
    <n v="509444.4444444438"/>
    <n v="32532592.592592586"/>
    <d v="2026-05-28T00:00:00"/>
    <x v="4"/>
    <x v="1"/>
    <x v="0"/>
  </r>
  <r>
    <x v="1"/>
    <n v="45"/>
    <n v="595369.24975036224"/>
    <n v="766792.53403642355"/>
    <n v="92015.104084370818"/>
    <n v="1454176.8878711567"/>
    <d v="2026-05-31T00:00:00"/>
    <x v="0"/>
    <x v="1"/>
    <x v="0"/>
  </r>
  <r>
    <x v="2"/>
    <n v="10"/>
    <n v="0"/>
    <n v="7808219.1799999997"/>
    <n v="936986.30000000075"/>
    <n v="8745205.4800000004"/>
    <d v="2025-05-02T00:00:00"/>
    <x v="1"/>
    <x v="0"/>
    <x v="0"/>
  </r>
  <r>
    <x v="3"/>
    <n v="34"/>
    <n v="862638.00906125852"/>
    <n v="1869359.8417859895"/>
    <n v="224323.18101431875"/>
    <n v="2956321.0318615669"/>
    <d v="2026-06-02T00:00:00"/>
    <x v="0"/>
    <x v="1"/>
    <x v="0"/>
  </r>
  <r>
    <x v="4"/>
    <n v="18"/>
    <n v="14166666.67"/>
    <n v="14953789.949999999"/>
    <n v="1794454.790000001"/>
    <n v="30914911.41"/>
    <d v="2026-05-04T00:00:00"/>
    <x v="1"/>
    <x v="1"/>
    <x v="0"/>
  </r>
  <r>
    <x v="5"/>
    <n v="16"/>
    <n v="12365962.460000001"/>
    <n v="10255934.77"/>
    <n v="1230712.17"/>
    <n v="23852609.399999999"/>
    <d v="2026-06-07T00:00:00"/>
    <x v="0"/>
    <x v="1"/>
    <x v="0"/>
  </r>
  <r>
    <x v="7"/>
    <n v="42"/>
    <n v="713469.2806730736"/>
    <n v="1070261.2449310992"/>
    <n v="112377.43071776541"/>
    <n v="1896107.9563219382"/>
    <d v="2026-06-12T00:00:00"/>
    <x v="0"/>
    <x v="1"/>
    <x v="0"/>
  </r>
  <r>
    <x v="8"/>
    <n v="11"/>
    <n v="0"/>
    <n v="9416095.8000000007"/>
    <n v="1130873.1100000001"/>
    <n v="10546968.91"/>
    <d v="2026-06-13T00:00:00"/>
    <x v="0"/>
    <x v="1"/>
    <x v="0"/>
  </r>
  <r>
    <x v="10"/>
    <n v="10"/>
    <n v="4003758.3847848605"/>
    <n v="10043261.258681061"/>
    <n v="1205191.3510417272"/>
    <n v="15252210.994507648"/>
    <d v="2025-08-17T00:00:00"/>
    <x v="3"/>
    <x v="0"/>
    <x v="0"/>
  </r>
  <r>
    <x v="11"/>
    <n v="11"/>
    <n v="0"/>
    <n v="2630136.9900000002"/>
    <n v="315616.4299999997"/>
    <n v="2945753.42"/>
    <d v="2025-09-17T00:00:00"/>
    <x v="1"/>
    <x v="0"/>
    <x v="0"/>
  </r>
  <r>
    <x v="18"/>
    <n v="10"/>
    <n v="2447971.04"/>
    <n v="7573616.1900000004"/>
    <n v="908833.94"/>
    <n v="10930421.17"/>
    <d v="2025-10-17T00:00:00"/>
    <x v="4"/>
    <x v="0"/>
    <x v="0"/>
  </r>
  <r>
    <x v="12"/>
    <n v="18"/>
    <n v="1578550.8"/>
    <n v="3605028.8"/>
    <n v="432603.45"/>
    <n v="5616183.0499999998"/>
    <d v="2026-06-17T00:00:00"/>
    <x v="4"/>
    <x v="1"/>
    <x v="0"/>
  </r>
  <r>
    <x v="14"/>
    <n v="15"/>
    <n v="11976346.791465554"/>
    <n v="10818887.303199805"/>
    <n v="1298266.4763839766"/>
    <n v="24093500.571049336"/>
    <d v="2026-06-17T00:00:00"/>
    <x v="0"/>
    <x v="1"/>
    <x v="0"/>
  </r>
  <r>
    <x v="15"/>
    <n v="11"/>
    <n v="1106563.69"/>
    <n v="4667945.88"/>
    <n v="560620.30000000005"/>
    <n v="6335129.8700000001"/>
    <d v="2026-06-17T00:00:00"/>
    <x v="0"/>
    <x v="1"/>
    <x v="0"/>
  </r>
  <r>
    <x v="16"/>
    <n v="10"/>
    <n v="0"/>
    <n v="10013698.630000001"/>
    <n v="1201643.8356000001"/>
    <n v="11215342.465600001"/>
    <d v="2025-04-18T00:00:00"/>
    <x v="1"/>
    <x v="0"/>
    <x v="0"/>
  </r>
  <r>
    <x v="0"/>
    <n v="23"/>
    <n v="617663.72"/>
    <n v="3971760.53"/>
    <n v="476611.27"/>
    <n v="5066035.5199999996"/>
    <d v="2026-06-19T00:00:00"/>
    <x v="0"/>
    <x v="1"/>
    <x v="0"/>
  </r>
  <r>
    <x v="17"/>
    <n v="22"/>
    <n v="2316238.9900000002"/>
    <n v="14894101.970000001"/>
    <n v="1787292.24"/>
    <n v="18997633.200000003"/>
    <d v="2026-06-19T00:00:00"/>
    <x v="0"/>
    <x v="1"/>
    <x v="0"/>
  </r>
  <r>
    <x v="22"/>
    <n v="15"/>
    <n v="27777777.777777776"/>
    <n v="3396296.2962962911"/>
    <n v="407555.55555555492"/>
    <n v="31581629.629629623"/>
    <d v="2026-06-25T00:00:00"/>
    <x v="4"/>
    <x v="1"/>
    <x v="0"/>
  </r>
  <r>
    <x v="19"/>
    <n v="18"/>
    <n v="1055335.0900000001"/>
    <n v="3850982.2"/>
    <n v="462117.86"/>
    <n v="5368435.1500000004"/>
    <d v="2026-06-26T00:00:00"/>
    <x v="5"/>
    <x v="1"/>
    <x v="0"/>
  </r>
  <r>
    <x v="20"/>
    <n v="24"/>
    <n v="2841304.5915187923"/>
    <n v="5611879.1767406343"/>
    <n v="673425.50120887614"/>
    <n v="9126609.2694683019"/>
    <d v="2026-06-27T00:00:00"/>
    <x v="5"/>
    <x v="1"/>
    <x v="0"/>
  </r>
  <r>
    <x v="21"/>
    <n v="10"/>
    <n v="2500000"/>
    <n v="2484246.5803571427"/>
    <n v="298109.58964285714"/>
    <n v="5282356.17"/>
    <d v="2025-01-27T00:00:00"/>
    <x v="6"/>
    <x v="0"/>
    <x v="0"/>
  </r>
  <r>
    <x v="13"/>
    <n v="10"/>
    <n v="1906589.65"/>
    <n v="5868779.75"/>
    <n v="704253.57000000076"/>
    <n v="8479622.9700000007"/>
    <d v="2025-07-27T00:00:00"/>
    <x v="4"/>
    <x v="0"/>
    <x v="0"/>
  </r>
  <r>
    <x v="23"/>
    <n v="10"/>
    <m/>
    <n v="5390000"/>
    <n v="646800"/>
    <n v="6036800"/>
    <d v="2025-10-27T00:00:00"/>
    <x v="7"/>
    <x v="0"/>
    <x v="0"/>
  </r>
  <r>
    <x v="24"/>
    <n v="15"/>
    <n v="27777777.777777776"/>
    <n v="3396296.2962962911"/>
    <n v="407555.55555555492"/>
    <n v="31581629.629629623"/>
    <d v="2026-06-28T00:00:00"/>
    <x v="4"/>
    <x v="1"/>
    <x v="0"/>
  </r>
  <r>
    <x v="1"/>
    <n v="46"/>
    <n v="613230.32724287303"/>
    <n v="748931.45654391276"/>
    <n v="89871.774785269532"/>
    <n v="1452033.5585720553"/>
    <d v="2026-06-30T00:00:00"/>
    <x v="0"/>
    <x v="1"/>
    <x v="0"/>
  </r>
  <r>
    <x v="2"/>
    <n v="11"/>
    <n v="0"/>
    <n v="7287671.2321428563"/>
    <n v="874520.54785714275"/>
    <n v="8162191.7800000003"/>
    <d v="2025-06-02T00:00:00"/>
    <x v="1"/>
    <x v="0"/>
    <x v="0"/>
  </r>
  <r>
    <x v="3"/>
    <n v="35"/>
    <n v="888517.14933309634"/>
    <n v="1843480.7015141516"/>
    <n v="221217.68418169819"/>
    <n v="2953215.5350289461"/>
    <d v="2026-07-02T00:00:00"/>
    <x v="0"/>
    <x v="1"/>
    <x v="0"/>
  </r>
  <r>
    <x v="4"/>
    <n v="19"/>
    <n v="14166666.67"/>
    <n v="16170958.9"/>
    <n v="1940515.0599999987"/>
    <n v="32278140.629999999"/>
    <d v="2026-06-04T00:00:00"/>
    <x v="1"/>
    <x v="1"/>
    <x v="0"/>
  </r>
  <r>
    <x v="5"/>
    <n v="17"/>
    <n v="12726777.529999999"/>
    <n v="9895119.6999999993"/>
    <n v="1187414.3700000001"/>
    <n v="23809311.599999998"/>
    <d v="2026-07-07T00:00:00"/>
    <x v="0"/>
    <x v="1"/>
    <x v="0"/>
  </r>
  <r>
    <x v="7"/>
    <n v="43"/>
    <n v="734873.35909326584"/>
    <n v="1048857.166510907"/>
    <n v="110130.00248364524"/>
    <n v="1893860.5280878181"/>
    <d v="2026-07-12T00:00:00"/>
    <x v="0"/>
    <x v="1"/>
    <x v="0"/>
  </r>
  <r>
    <x v="8"/>
    <n v="12"/>
    <n v="0"/>
    <n v="9416095.8000000007"/>
    <n v="1130873.1100000001"/>
    <n v="10546968.91"/>
    <d v="2026-07-13T00:00:00"/>
    <x v="0"/>
    <x v="1"/>
    <x v="0"/>
  </r>
  <r>
    <x v="10"/>
    <n v="11"/>
    <n v="4103518.697872417"/>
    <n v="9956518"/>
    <n v="1194782.1599999999"/>
    <n v="15254818.857872417"/>
    <d v="2025-09-17T00:00:00"/>
    <x v="3"/>
    <x v="0"/>
    <x v="0"/>
  </r>
  <r>
    <x v="11"/>
    <n v="12"/>
    <n v="0"/>
    <n v="2630136.9900000002"/>
    <n v="315616.4299999997"/>
    <n v="2945753.42"/>
    <d v="2025-10-17T00:00:00"/>
    <x v="1"/>
    <x v="0"/>
    <x v="0"/>
  </r>
  <r>
    <x v="18"/>
    <n v="11"/>
    <n v="2516379.59"/>
    <n v="7505207.6399999997"/>
    <n v="900624.91"/>
    <n v="10922212.140000001"/>
    <d v="2025-11-17T00:00:00"/>
    <x v="4"/>
    <x v="0"/>
    <x v="0"/>
  </r>
  <r>
    <x v="12"/>
    <n v="19"/>
    <n v="1622663.4"/>
    <n v="3560916.2"/>
    <n v="427309.94"/>
    <n v="5610889.54"/>
    <d v="2026-07-17T00:00:00"/>
    <x v="4"/>
    <x v="1"/>
    <x v="0"/>
  </r>
  <r>
    <x v="14"/>
    <n v="16"/>
    <n v="12331894.586837187"/>
    <n v="10463339.507828172"/>
    <n v="1255600.7409393806"/>
    <n v="24050834.835604742"/>
    <d v="2026-07-17T00:00:00"/>
    <x v="0"/>
    <x v="1"/>
    <x v="0"/>
  </r>
  <r>
    <x v="10"/>
    <n v="12"/>
    <n v="4205764.705427736"/>
    <n v="9841254.9380381852"/>
    <n v="1180950.5925645821"/>
    <n v="15227970.236030504"/>
    <d v="2025-10-17T00:00:00"/>
    <x v="3"/>
    <x v="0"/>
    <x v="0"/>
  </r>
  <r>
    <x v="10"/>
    <n v="13"/>
    <n v="4310558.3426713124"/>
    <n v="9736461.3007946089"/>
    <n v="1168375.3560953531"/>
    <n v="15215394.999561274"/>
    <d v="2025-11-17T00:00:00"/>
    <x v="3"/>
    <x v="0"/>
    <x v="0"/>
  </r>
  <r>
    <x v="10"/>
    <n v="14"/>
    <n v="4417963.088042872"/>
    <n v="9635874.439247435"/>
    <n v="1156304.932709692"/>
    <n v="15210142.459999999"/>
    <d v="2025-12-17T00:00:00"/>
    <x v="3"/>
    <x v="0"/>
    <x v="0"/>
  </r>
  <r>
    <x v="10"/>
    <n v="15"/>
    <n v="4528044.0016532745"/>
    <n v="9518975.6418126468"/>
    <n v="1142277.0770175175"/>
    <n v="15189296.720483439"/>
    <d v="2026-01-17T00:00:00"/>
    <x v="3"/>
    <x v="0"/>
    <x v="0"/>
  </r>
  <r>
    <x v="10"/>
    <n v="16"/>
    <n v="4640867.7646944672"/>
    <n v="9406151.8787714541"/>
    <n v="1128738.2254525744"/>
    <n v="15175757.868918495"/>
    <d v="2026-02-17T00:00:00"/>
    <x v="3"/>
    <x v="0"/>
    <x v="0"/>
  </r>
  <r>
    <x v="10"/>
    <n v="17"/>
    <n v="4756502.7198314369"/>
    <n v="9290516.9236344844"/>
    <n v="1114862.0308361382"/>
    <n v="15161881.67430206"/>
    <d v="2026-03-17T00:00:00"/>
    <x v="3"/>
    <x v="0"/>
    <x v="0"/>
  </r>
  <r>
    <x v="10"/>
    <n v="18"/>
    <n v="4875018.9126005713"/>
    <n v="9172000.73086535"/>
    <n v="1100640.087703842"/>
    <n v="15147659.731169764"/>
    <d v="2026-04-17T00:00:00"/>
    <x v="3"/>
    <x v="0"/>
    <x v="0"/>
  </r>
  <r>
    <x v="10"/>
    <n v="19"/>
    <n v="4996488.1338395365"/>
    <n v="9050531.5096263848"/>
    <n v="1086063.7811551662"/>
    <n v="15133083.424621087"/>
    <d v="2026-05-17T00:00:00"/>
    <x v="3"/>
    <x v="1"/>
    <x v="0"/>
  </r>
  <r>
    <x v="10"/>
    <n v="20"/>
    <n v="5120983.963174371"/>
    <n v="8926035.6802915502"/>
    <n v="1071124.2816349859"/>
    <n v="15118143.925100908"/>
    <d v="2026-06-17T00:00:00"/>
    <x v="3"/>
    <x v="1"/>
    <x v="0"/>
  </r>
  <r>
    <x v="10"/>
    <n v="21"/>
    <n v="5248581.8135901317"/>
    <n v="8798437.8298757896"/>
    <n v="1055812.5395850947"/>
    <n v="15102832.183051016"/>
    <d v="2026-07-17T00:00:00"/>
    <x v="3"/>
    <x v="1"/>
    <x v="0"/>
  </r>
  <r>
    <x v="15"/>
    <n v="12"/>
    <n v="1143739.69"/>
    <n v="4630769.88"/>
    <n v="556155.47"/>
    <n v="6330665.04"/>
    <d v="2026-07-17T00:00:00"/>
    <x v="0"/>
    <x v="1"/>
    <x v="0"/>
  </r>
  <r>
    <x v="16"/>
    <n v="11"/>
    <n v="0"/>
    <n v="8246575.3399999999"/>
    <n v="989589.04079999996"/>
    <n v="9236164.3807999995"/>
    <d v="2025-05-18T00:00:00"/>
    <x v="1"/>
    <x v="0"/>
    <x v="0"/>
  </r>
  <r>
    <x v="0"/>
    <n v="24"/>
    <n v="637970.47"/>
    <n v="3951453.78"/>
    <n v="474174.46"/>
    <n v="5063598.71"/>
    <d v="2026-07-19T00:00:00"/>
    <x v="0"/>
    <x v="1"/>
    <x v="0"/>
  </r>
  <r>
    <x v="17"/>
    <n v="23"/>
    <n v="2392389.31"/>
    <n v="14817951.65"/>
    <n v="1778154.19"/>
    <n v="18988495.149999999"/>
    <d v="2026-07-19T00:00:00"/>
    <x v="0"/>
    <x v="1"/>
    <x v="0"/>
  </r>
  <r>
    <x v="22"/>
    <n v="16"/>
    <n v="27777777.777777776"/>
    <n v="2547222.2222222169"/>
    <n v="305666.66666666605"/>
    <n v="30630666.66666666"/>
    <d v="2026-07-25T00:00:00"/>
    <x v="4"/>
    <x v="1"/>
    <x v="0"/>
  </r>
  <r>
    <x v="19"/>
    <n v="19"/>
    <n v="1085236.25"/>
    <n v="3821081.04"/>
    <n v="458529.71"/>
    <n v="5364847"/>
    <d v="2026-07-26T00:00:00"/>
    <x v="5"/>
    <x v="1"/>
    <x v="0"/>
  </r>
  <r>
    <x v="20"/>
    <n v="25"/>
    <n v="2905233.9448279655"/>
    <n v="5547949.8234314611"/>
    <n v="665753.97881177533"/>
    <n v="9118937.7470712028"/>
    <d v="2026-07-27T00:00:00"/>
    <x v="5"/>
    <x v="1"/>
    <x v="0"/>
  </r>
  <r>
    <x v="21"/>
    <n v="11"/>
    <n v="2500000"/>
    <n v="2420547.8450000002"/>
    <n v="290465.7414"/>
    <n v="5211013.5864000004"/>
    <d v="2025-02-27T00:00:00"/>
    <x v="6"/>
    <x v="0"/>
    <x v="0"/>
  </r>
  <r>
    <x v="13"/>
    <n v="11"/>
    <n v="1959869.29"/>
    <n v="5815500.1100000003"/>
    <n v="697860.00999999978"/>
    <n v="8473229.4100000001"/>
    <d v="2025-08-27T00:00:00"/>
    <x v="4"/>
    <x v="0"/>
    <x v="0"/>
  </r>
  <r>
    <x v="23"/>
    <n v="11"/>
    <n v="1870020.22"/>
    <n v="5390000"/>
    <n v="646800"/>
    <n v="7906820.2199999997"/>
    <d v="2025-11-27T00:00:00"/>
    <x v="7"/>
    <x v="0"/>
    <x v="0"/>
  </r>
  <r>
    <x v="24"/>
    <n v="16"/>
    <n v="27777777.777777776"/>
    <n v="2547222.2222222169"/>
    <n v="305666.66666666605"/>
    <n v="30630666.66666666"/>
    <d v="2026-07-28T00:00:00"/>
    <x v="4"/>
    <x v="1"/>
    <x v="0"/>
  </r>
  <r>
    <x v="1"/>
    <n v="47"/>
    <n v="631627.23706015921"/>
    <n v="730534.54672662658"/>
    <n v="87664.145607195183"/>
    <n v="1449825.9293939809"/>
    <d v="2026-07-31T00:00:00"/>
    <x v="0"/>
    <x v="1"/>
    <x v="0"/>
  </r>
  <r>
    <x v="2"/>
    <n v="12"/>
    <n v="0"/>
    <n v="7808219.1799999997"/>
    <n v="936986.30000000075"/>
    <n v="8745205.4800000004"/>
    <d v="2025-07-02T00:00:00"/>
    <x v="1"/>
    <x v="0"/>
    <x v="0"/>
  </r>
  <r>
    <x v="3"/>
    <n v="36"/>
    <n v="915172.66381308925"/>
    <n v="1816825.1870341587"/>
    <n v="218019.02244409904"/>
    <n v="2950016.8732913472"/>
    <d v="2026-08-02T00:00:00"/>
    <x v="0"/>
    <x v="1"/>
    <x v="0"/>
  </r>
  <r>
    <x v="4"/>
    <n v="20"/>
    <n v="14166666.67"/>
    <n v="16295159.82"/>
    <n v="1955419.1800000016"/>
    <n v="32417245.670000002"/>
    <d v="2026-07-04T00:00:00"/>
    <x v="1"/>
    <x v="1"/>
    <x v="0"/>
  </r>
  <r>
    <x v="5"/>
    <n v="18"/>
    <n v="13098120.48"/>
    <n v="9523776.75"/>
    <n v="1142853.21"/>
    <n v="23764750.440000001"/>
    <d v="2026-08-07T00:00:00"/>
    <x v="0"/>
    <x v="1"/>
    <x v="0"/>
  </r>
  <r>
    <x v="7"/>
    <n v="44"/>
    <n v="756919.55986606365"/>
    <n v="1026810.9657381092"/>
    <n v="107815.15140250146"/>
    <n v="1891545.6770066742"/>
    <d v="2026-08-12T00:00:00"/>
    <x v="0"/>
    <x v="1"/>
    <x v="0"/>
  </r>
  <r>
    <x v="8"/>
    <n v="13"/>
    <n v="1140706.1299999999"/>
    <n v="9416095.8000000007"/>
    <n v="1130873.1100000001"/>
    <n v="11687675.039999999"/>
    <d v="2026-08-13T00:00:00"/>
    <x v="0"/>
    <x v="1"/>
    <x v="0"/>
  </r>
  <r>
    <x v="10"/>
    <n v="22"/>
    <n v="5379358.9771120865"/>
    <n v="8667660.6663538348"/>
    <n v="1040119.2799624602"/>
    <n v="15087138.923428381"/>
    <d v="2026-08-17T00:00:00"/>
    <x v="3"/>
    <x v="1"/>
    <x v="0"/>
  </r>
  <r>
    <x v="11"/>
    <n v="13"/>
    <n v="2083333.33"/>
    <n v="2717808.22"/>
    <n v="326136.98"/>
    <n v="5127278.53"/>
    <d v="2025-11-17T00:00:00"/>
    <x v="1"/>
    <x v="0"/>
    <x v="0"/>
  </r>
  <r>
    <x v="18"/>
    <n v="12"/>
    <n v="2586699.81"/>
    <n v="7434887.4199999999"/>
    <n v="892186.49"/>
    <n v="10913773.720000001"/>
    <d v="2025-12-17T00:00:00"/>
    <x v="4"/>
    <x v="0"/>
    <x v="0"/>
  </r>
  <r>
    <x v="12"/>
    <n v="20"/>
    <n v="1668008.73"/>
    <n v="3515570.87"/>
    <n v="421868.5"/>
    <n v="5605448.0999999996"/>
    <d v="2026-08-17T00:00:00"/>
    <x v="4"/>
    <x v="1"/>
    <x v="0"/>
  </r>
  <r>
    <x v="14"/>
    <n v="17"/>
    <n v="12697997.707383916"/>
    <n v="10097236.387281444"/>
    <n v="1211668.3664737733"/>
    <n v="24006902.461139131"/>
    <d v="2026-08-17T00:00:00"/>
    <x v="0"/>
    <x v="1"/>
    <x v="0"/>
  </r>
  <r>
    <x v="15"/>
    <n v="13"/>
    <n v="1182164.6399999999"/>
    <n v="4592344.93"/>
    <n v="551540.62"/>
    <n v="6326050.1900000004"/>
    <d v="2026-08-17T00:00:00"/>
    <x v="0"/>
    <x v="1"/>
    <x v="0"/>
  </r>
  <r>
    <x v="16"/>
    <n v="12"/>
    <n v="0"/>
    <n v="8835616.4399999995"/>
    <n v="1060273.9800000004"/>
    <n v="9895890.4199999999"/>
    <d v="2025-06-18T00:00:00"/>
    <x v="1"/>
    <x v="0"/>
    <x v="0"/>
  </r>
  <r>
    <x v="0"/>
    <n v="25"/>
    <n v="658944.85"/>
    <n v="3930479.4"/>
    <n v="471657.53"/>
    <n v="5061081.78"/>
    <d v="2026-08-19T00:00:00"/>
    <x v="0"/>
    <x v="1"/>
    <x v="0"/>
  </r>
  <r>
    <x v="17"/>
    <n v="24"/>
    <n v="2471043.2000000002"/>
    <n v="14739297.76"/>
    <n v="1768715.73"/>
    <n v="18979056.690000001"/>
    <d v="2026-08-19T00:00:00"/>
    <x v="0"/>
    <x v="1"/>
    <x v="0"/>
  </r>
  <r>
    <x v="22"/>
    <n v="17"/>
    <n v="27777777.777777776"/>
    <n v="1698148.148148143"/>
    <n v="203777.77777777717"/>
    <n v="29679703.703703698"/>
    <d v="2026-08-25T00:00:00"/>
    <x v="4"/>
    <x v="1"/>
    <x v="0"/>
  </r>
  <r>
    <x v="19"/>
    <n v="20"/>
    <n v="1115984.6100000001"/>
    <n v="3790332.68"/>
    <n v="454839.92"/>
    <n v="5361157.21"/>
    <d v="2026-08-26T00:00:00"/>
    <x v="5"/>
    <x v="1"/>
    <x v="0"/>
  </r>
  <r>
    <x v="20"/>
    <n v="26"/>
    <n v="2970601.708586595"/>
    <n v="5482582.0596728316"/>
    <n v="657909.84716073982"/>
    <n v="9111093.6154201664"/>
    <d v="2026-08-27T00:00:00"/>
    <x v="5"/>
    <x v="1"/>
    <x v="0"/>
  </r>
  <r>
    <x v="21"/>
    <n v="12"/>
    <n v="2500000"/>
    <n v="2128767.13"/>
    <n v="255452.05559999996"/>
    <n v="4884219.1855999995"/>
    <d v="2025-03-27T00:00:00"/>
    <x v="6"/>
    <x v="0"/>
    <x v="0"/>
  </r>
  <r>
    <x v="13"/>
    <n v="12"/>
    <n v="2014637.84"/>
    <n v="5760731.5599999996"/>
    <n v="691287.78"/>
    <n v="8466657.1799999997"/>
    <d v="2025-09-27T00:00:00"/>
    <x v="4"/>
    <x v="0"/>
    <x v="0"/>
  </r>
  <r>
    <x v="23"/>
    <n v="12"/>
    <n v="1921445.78"/>
    <n v="5338574.4400000004"/>
    <n v="640628.93999999994"/>
    <n v="7900649.1600000001"/>
    <d v="2025-12-29T00:00:00"/>
    <x v="7"/>
    <x v="0"/>
    <x v="0"/>
  </r>
  <r>
    <x v="24"/>
    <n v="17"/>
    <n v="27777777.777777776"/>
    <n v="1698148.148148143"/>
    <n v="203777.77777777717"/>
    <n v="29679703.703703698"/>
    <d v="2026-08-28T00:00:00"/>
    <x v="4"/>
    <x v="1"/>
    <x v="0"/>
  </r>
  <r>
    <x v="1"/>
    <n v="48"/>
    <n v="650576.05417196406"/>
    <n v="711585.72961482173"/>
    <n v="85390.287553778602"/>
    <n v="1447552.0713405644"/>
    <d v="2026-08-31T00:00:00"/>
    <x v="0"/>
    <x v="1"/>
    <x v="0"/>
  </r>
  <r>
    <x v="2"/>
    <n v="13"/>
    <n v="7916666.6699999999"/>
    <n v="8589041.0999999996"/>
    <n v="1030684.9400000013"/>
    <n v="17536392.710000001"/>
    <d v="2025-08-02T00:00:00"/>
    <x v="1"/>
    <x v="0"/>
    <x v="0"/>
  </r>
  <r>
    <x v="3"/>
    <n v="37"/>
    <n v="942627.84372748202"/>
    <n v="1789370.007119766"/>
    <n v="214724.40085437192"/>
    <n v="2946722.2517016199"/>
    <d v="2026-09-02T00:00:00"/>
    <x v="0"/>
    <x v="1"/>
    <x v="0"/>
  </r>
  <r>
    <x v="4"/>
    <n v="21"/>
    <n v="14166666.67"/>
    <n v="14407305.939999999"/>
    <n v="1728876.7100000009"/>
    <n v="30302849.32"/>
    <d v="2026-08-04T00:00:00"/>
    <x v="1"/>
    <x v="1"/>
    <x v="0"/>
  </r>
  <r>
    <x v="5"/>
    <n v="19"/>
    <n v="13480298.52"/>
    <n v="9141598.7100000009"/>
    <n v="1096991.8400000001"/>
    <n v="23718889.07"/>
    <d v="2026-09-07T00:00:00"/>
    <x v="0"/>
    <x v="1"/>
    <x v="0"/>
  </r>
  <r>
    <x v="7"/>
    <n v="45"/>
    <n v="779627.1466620455"/>
    <n v="1004103.3789421273"/>
    <n v="105430.85478892336"/>
    <n v="1889161.3803930962"/>
    <d v="2026-09-12T00:00:00"/>
    <x v="0"/>
    <x v="1"/>
    <x v="0"/>
  </r>
  <r>
    <x v="8"/>
    <n v="14"/>
    <n v="1176509.46"/>
    <n v="9380292.4700000007"/>
    <n v="1126573.1299999999"/>
    <n v="11683375.059999999"/>
    <d v="2026-09-13T00:00:00"/>
    <x v="0"/>
    <x v="1"/>
    <x v="0"/>
  </r>
  <r>
    <x v="10"/>
    <n v="23"/>
    <n v="5513394.6716251299"/>
    <n v="8533624.9718407914"/>
    <n v="1024034.996620895"/>
    <n v="15071054.640086817"/>
    <d v="2026-09-17T00:00:00"/>
    <x v="3"/>
    <x v="1"/>
    <x v="0"/>
  </r>
  <r>
    <x v="11"/>
    <n v="14"/>
    <n v="2083333.33"/>
    <n v="2575342.4700000002"/>
    <n v="309041.10000000009"/>
    <n v="4967716.9000000004"/>
    <d v="2025-12-17T00:00:00"/>
    <x v="1"/>
    <x v="0"/>
    <x v="0"/>
  </r>
  <r>
    <x v="18"/>
    <n v="13"/>
    <n v="2658985.14"/>
    <n v="7362602.0899999999"/>
    <n v="883512.25"/>
    <n v="10905099.48"/>
    <d v="2026-01-17T00:00:00"/>
    <x v="4"/>
    <x v="0"/>
    <x v="0"/>
  </r>
  <r>
    <x v="12"/>
    <n v="21"/>
    <n v="1714621.24"/>
    <n v="3468958.36"/>
    <n v="416275.01"/>
    <n v="5599854.6100000003"/>
    <d v="2026-09-17T00:00:00"/>
    <x v="4"/>
    <x v="1"/>
    <x v="0"/>
  </r>
  <r>
    <x v="14"/>
    <n v="18"/>
    <n v="13074969.514321877"/>
    <n v="9720264.580343483"/>
    <n v="1166431.749641218"/>
    <n v="23961665.844306577"/>
    <d v="2026-09-17T00:00:00"/>
    <x v="0"/>
    <x v="1"/>
    <x v="0"/>
  </r>
  <r>
    <x v="15"/>
    <n v="14"/>
    <n v="1221880.51"/>
    <n v="4552629.0599999996"/>
    <n v="546770.75"/>
    <n v="6321280.3200000003"/>
    <d v="2026-09-17T00:00:00"/>
    <x v="0"/>
    <x v="1"/>
    <x v="0"/>
  </r>
  <r>
    <x v="16"/>
    <n v="13"/>
    <n v="8958333.3300000001"/>
    <n v="8835616.4399999995"/>
    <n v="1060273.9800000004"/>
    <n v="18854223.75"/>
    <d v="2025-07-18T00:00:00"/>
    <x v="1"/>
    <x v="0"/>
    <x v="0"/>
  </r>
  <r>
    <x v="0"/>
    <n v="26"/>
    <n v="680608.79"/>
    <n v="3908815.46"/>
    <n v="469057.85"/>
    <n v="5058482.0999999996"/>
    <d v="2026-09-19T00:00:00"/>
    <x v="0"/>
    <x v="1"/>
    <x v="0"/>
  </r>
  <r>
    <x v="17"/>
    <n v="25"/>
    <n v="2552282.98"/>
    <n v="14658057.98"/>
    <n v="1758966.96"/>
    <n v="18969307.920000002"/>
    <d v="2026-09-19T00:00:00"/>
    <x v="0"/>
    <x v="1"/>
    <x v="0"/>
  </r>
  <r>
    <x v="21"/>
    <n v="13"/>
    <n v="2500000"/>
    <n v="2293150.6874999995"/>
    <n v="275178.0824999999"/>
    <n v="5068328.7699999996"/>
    <d v="2025-04-27T00:00:00"/>
    <x v="6"/>
    <x v="0"/>
    <x v="0"/>
  </r>
  <r>
    <x v="21"/>
    <n v="14"/>
    <n v="2500000"/>
    <n v="2157534.2589285714"/>
    <n v="258904.11107142855"/>
    <n v="4916438.37"/>
    <d v="2025-05-27T00:00:00"/>
    <x v="6"/>
    <x v="0"/>
    <x v="0"/>
  </r>
  <r>
    <x v="21"/>
    <n v="15"/>
    <n v="2500000"/>
    <n v="2165753.335"/>
    <n v="259890.40019999997"/>
    <n v="4925643.7352"/>
    <d v="2025-06-27T00:00:00"/>
    <x v="6"/>
    <x v="0"/>
    <x v="0"/>
  </r>
  <r>
    <x v="21"/>
    <n v="16"/>
    <n v="2500000"/>
    <n v="2102054.7075"/>
    <n v="252246.5649"/>
    <n v="4854301.2723999992"/>
    <d v="2025-07-27T00:00:00"/>
    <x v="6"/>
    <x v="0"/>
    <x v="0"/>
  </r>
  <r>
    <x v="21"/>
    <n v="17"/>
    <n v="2500000"/>
    <n v="2038356.08"/>
    <n v="244602.72959999999"/>
    <n v="4782958.8096000003"/>
    <d v="2025-08-27T00:00:00"/>
    <x v="6"/>
    <x v="0"/>
    <x v="0"/>
  </r>
  <r>
    <x v="21"/>
    <n v="18"/>
    <n v="2500000"/>
    <n v="1974657.4525000001"/>
    <n v="236958.89430000001"/>
    <n v="4711616.3468000004"/>
    <d v="2025-09-27T00:00:00"/>
    <x v="6"/>
    <x v="0"/>
    <x v="0"/>
  </r>
  <r>
    <x v="21"/>
    <n v="19"/>
    <n v="2500000"/>
    <n v="1910958.825"/>
    <n v="229315.05899999998"/>
    <n v="4640273.8840000005"/>
    <d v="2025-10-27T00:00:00"/>
    <x v="6"/>
    <x v="0"/>
    <x v="0"/>
  </r>
  <r>
    <x v="21"/>
    <n v="20"/>
    <n v="2500000"/>
    <n v="1847260.1975"/>
    <n v="221671.2237"/>
    <n v="4568931.4211999997"/>
    <d v="2025-11-27T00:00:00"/>
    <x v="6"/>
    <x v="0"/>
    <x v="0"/>
  </r>
  <r>
    <x v="21"/>
    <n v="21"/>
    <n v="2500000"/>
    <n v="1783561.57"/>
    <n v="214027.3884"/>
    <n v="4497588.9583999999"/>
    <d v="2025-12-27T00:00:00"/>
    <x v="6"/>
    <x v="0"/>
    <x v="0"/>
  </r>
  <r>
    <x v="21"/>
    <n v="22"/>
    <n v="2500000"/>
    <n v="1719862.9425000001"/>
    <n v="206383.55310000002"/>
    <n v="4426246.4956"/>
    <d v="2026-01-27T00:00:00"/>
    <x v="6"/>
    <x v="0"/>
    <x v="0"/>
  </r>
  <r>
    <x v="21"/>
    <n v="23"/>
    <n v="2500000"/>
    <n v="1656164.3149999999"/>
    <n v="198739.71779999998"/>
    <n v="4354904.0328000002"/>
    <d v="2026-02-27T00:00:00"/>
    <x v="6"/>
    <x v="0"/>
    <x v="0"/>
  </r>
  <r>
    <x v="21"/>
    <n v="24"/>
    <n v="2500000"/>
    <n v="1592465.6875"/>
    <n v="191095.88250000001"/>
    <n v="4283561.57"/>
    <d v="2026-03-27T00:00:00"/>
    <x v="6"/>
    <x v="0"/>
    <x v="0"/>
  </r>
  <r>
    <x v="21"/>
    <n v="25"/>
    <n v="2500000"/>
    <n v="1528767.06"/>
    <n v="183452.0472"/>
    <n v="4212219.1072000004"/>
    <d v="2026-04-27T00:00:00"/>
    <x v="6"/>
    <x v="1"/>
    <x v="0"/>
  </r>
  <r>
    <x v="21"/>
    <n v="26"/>
    <n v="2500000"/>
    <n v="1465068.4325000001"/>
    <n v="175808.21189999999"/>
    <n v="4140876.6444000001"/>
    <d v="2026-05-27T00:00:00"/>
    <x v="6"/>
    <x v="1"/>
    <x v="0"/>
  </r>
  <r>
    <x v="21"/>
    <n v="27"/>
    <n v="2500000"/>
    <n v="1401369.8049999999"/>
    <n v="168164.37659999999"/>
    <n v="4069534.1815999998"/>
    <d v="2026-06-27T00:00:00"/>
    <x v="6"/>
    <x v="1"/>
    <x v="0"/>
  </r>
  <r>
    <x v="21"/>
    <n v="28"/>
    <n v="2500000"/>
    <n v="1337671.1775"/>
    <n v="160520.54129999998"/>
    <n v="3998191.7188000004"/>
    <d v="2026-07-27T00:00:00"/>
    <x v="6"/>
    <x v="1"/>
    <x v="0"/>
  </r>
  <r>
    <x v="21"/>
    <n v="29"/>
    <n v="2500000"/>
    <n v="1273972.55"/>
    <n v="152876.70600000001"/>
    <n v="3926849.2560000001"/>
    <d v="2026-08-27T00:00:00"/>
    <x v="6"/>
    <x v="1"/>
    <x v="0"/>
  </r>
  <r>
    <x v="22"/>
    <n v="18"/>
    <n v="27777777.777777776"/>
    <n v="849074.07407406904"/>
    <n v="101888.88888888828"/>
    <n v="28728740.740740735"/>
    <d v="2026-09-25T00:00:00"/>
    <x v="4"/>
    <x v="1"/>
    <x v="0"/>
  </r>
  <r>
    <x v="19"/>
    <n v="21"/>
    <n v="1147604.17"/>
    <n v="3758713.12"/>
    <n v="451045.56"/>
    <n v="5357362.8499999996"/>
    <d v="2026-09-26T00:00:00"/>
    <x v="5"/>
    <x v="1"/>
    <x v="0"/>
  </r>
  <r>
    <x v="20"/>
    <n v="27"/>
    <n v="3037440.2470297934"/>
    <n v="5415743.5212296331"/>
    <n v="649889.22254755592"/>
    <n v="9103072.9908069819"/>
    <d v="2026-09-27T00:00:00"/>
    <x v="5"/>
    <x v="1"/>
    <x v="0"/>
  </r>
  <r>
    <x v="21"/>
    <n v="30"/>
    <n v="2500000"/>
    <n v="1210273.9225000001"/>
    <n v="145232.8707"/>
    <n v="3855506.7932000002"/>
    <d v="2026-09-27T00:00:00"/>
    <x v="6"/>
    <x v="1"/>
    <x v="0"/>
  </r>
  <r>
    <x v="13"/>
    <n v="13"/>
    <n v="2070936.9"/>
    <n v="5704432.5"/>
    <n v="684531.90000000084"/>
    <n v="8459901.3000000007"/>
    <d v="2025-10-27T00:00:00"/>
    <x v="4"/>
    <x v="0"/>
    <x v="0"/>
  </r>
  <r>
    <x v="23"/>
    <n v="13"/>
    <n v="1974285.53"/>
    <n v="5285734.6900000004"/>
    <n v="634288.16"/>
    <n v="7894308.3799999999"/>
    <d v="2026-01-27T00:00:00"/>
    <x v="7"/>
    <x v="0"/>
    <x v="0"/>
  </r>
  <r>
    <x v="24"/>
    <n v="18"/>
    <n v="27777777.777777776"/>
    <n v="849074.07407406904"/>
    <n v="101888.88888888828"/>
    <n v="28728740.740740735"/>
    <d v="2026-09-28T00:00:00"/>
    <x v="4"/>
    <x v="1"/>
    <x v="0"/>
  </r>
  <r>
    <x v="1"/>
    <n v="49"/>
    <n v="670093.33579712291"/>
    <n v="692068.44798966288"/>
    <n v="83048.213758759535"/>
    <n v="1445209.9975455452"/>
    <d v="2026-09-30T00:00:00"/>
    <x v="0"/>
    <x v="1"/>
    <x v="0"/>
  </r>
  <r>
    <x v="2"/>
    <n v="14"/>
    <n v="7916666.6699999999"/>
    <n v="7390696.3499999996"/>
    <n v="886883.5700000003"/>
    <n v="16194246.59"/>
    <d v="2025-09-02T00:00:00"/>
    <x v="1"/>
    <x v="0"/>
    <x v="0"/>
  </r>
  <r>
    <x v="3"/>
    <n v="38"/>
    <n v="970906.67903930647"/>
    <n v="1761091.1718079415"/>
    <n v="211330.94061695298"/>
    <n v="2943328.7914642012"/>
    <d v="2026-10-02T00:00:00"/>
    <x v="0"/>
    <x v="1"/>
    <x v="0"/>
  </r>
  <r>
    <x v="4"/>
    <n v="22"/>
    <n v="14166666.67"/>
    <n v="15015890.41"/>
    <n v="1801906.8499999996"/>
    <n v="30984463.93"/>
    <d v="2026-09-04T00:00:00"/>
    <x v="1"/>
    <x v="1"/>
    <x v="0"/>
  </r>
  <r>
    <x v="5"/>
    <n v="20"/>
    <n v="13873627.77"/>
    <n v="8748269.4600000009"/>
    <n v="1049792.33"/>
    <n v="23671689.560000002"/>
    <d v="2026-10-07T00:00:00"/>
    <x v="0"/>
    <x v="1"/>
    <x v="0"/>
  </r>
  <r>
    <x v="7"/>
    <n v="46"/>
    <n v="803015.96106190688"/>
    <n v="980714.56454226596"/>
    <n v="102975.02927693792"/>
    <n v="1886705.5548811108"/>
    <d v="2026-10-12T00:00:00"/>
    <x v="0"/>
    <x v="1"/>
    <x v="0"/>
  </r>
  <r>
    <x v="8"/>
    <n v="15"/>
    <n v="1213436.54"/>
    <n v="9343365.3900000006"/>
    <n v="1122138.19"/>
    <n v="11678940.119999999"/>
    <d v="2026-10-13T00:00:00"/>
    <x v="0"/>
    <x v="1"/>
    <x v="0"/>
  </r>
  <r>
    <x v="10"/>
    <n v="24"/>
    <n v="5650770.0888597891"/>
    <n v="8396249.5546061322"/>
    <n v="1007549.9465527359"/>
    <n v="15054569.590018658"/>
    <d v="2026-10-17T00:00:00"/>
    <x v="3"/>
    <x v="1"/>
    <x v="0"/>
  </r>
  <r>
    <x v="11"/>
    <n v="15"/>
    <n v="2083333.33"/>
    <n v="2772602.74"/>
    <n v="332712.33000000007"/>
    <n v="5188648.4000000004"/>
    <d v="2026-01-19T00:00:00"/>
    <x v="1"/>
    <x v="0"/>
    <x v="0"/>
  </r>
  <r>
    <x v="18"/>
    <n v="14"/>
    <n v="2733290.48"/>
    <n v="7288296.75"/>
    <n v="874595.61"/>
    <n v="10896182.84"/>
    <d v="2026-02-17T00:00:00"/>
    <x v="4"/>
    <x v="0"/>
    <x v="0"/>
  </r>
  <r>
    <x v="12"/>
    <n v="22"/>
    <n v="1762536.33"/>
    <n v="3421043.27"/>
    <n v="410525.19"/>
    <n v="5594104.79"/>
    <d v="2026-10-17T00:00:00"/>
    <x v="4"/>
    <x v="1"/>
    <x v="0"/>
  </r>
  <r>
    <x v="14"/>
    <n v="19"/>
    <n v="13463132.671778308"/>
    <n v="9332101.4228870515"/>
    <n v="1119852.1707464461"/>
    <n v="23915086.265411805"/>
    <d v="2026-10-17T00:00:00"/>
    <x v="0"/>
    <x v="1"/>
    <x v="0"/>
  </r>
  <r>
    <x v="15"/>
    <n v="15"/>
    <n v="1262930.68"/>
    <n v="4511578.8899999997"/>
    <n v="541840.62"/>
    <n v="6316350.1900000004"/>
    <d v="2026-10-17T00:00:00"/>
    <x v="0"/>
    <x v="1"/>
    <x v="0"/>
  </r>
  <r>
    <x v="16"/>
    <n v="14"/>
    <n v="8958333.3300000001"/>
    <n v="8939925.8000000007"/>
    <n v="1072791.0999999996"/>
    <n v="18971050.23"/>
    <d v="2025-08-18T00:00:00"/>
    <x v="1"/>
    <x v="0"/>
    <x v="0"/>
  </r>
  <r>
    <x v="0"/>
    <n v="27"/>
    <n v="702984.97"/>
    <n v="3886439.28"/>
    <n v="466372.71"/>
    <n v="5055796.96"/>
    <d v="2026-10-19T00:00:00"/>
    <x v="0"/>
    <x v="1"/>
    <x v="0"/>
  </r>
  <r>
    <x v="17"/>
    <n v="26"/>
    <n v="2636193.65"/>
    <n v="14574147.310000001"/>
    <n v="1748897.68"/>
    <n v="18959238.640000001"/>
    <d v="2026-10-19T00:00:00"/>
    <x v="0"/>
    <x v="1"/>
    <x v="0"/>
  </r>
  <r>
    <x v="19"/>
    <n v="22"/>
    <n v="1180119.6200000001"/>
    <n v="3726197.67"/>
    <n v="447143.71"/>
    <n v="5353461"/>
    <d v="2026-10-26T00:00:00"/>
    <x v="5"/>
    <x v="1"/>
    <x v="0"/>
  </r>
  <r>
    <x v="20"/>
    <n v="28"/>
    <n v="3105782.6525879633"/>
    <n v="5347401.1156714633"/>
    <n v="641688.13388057565"/>
    <n v="9094871.9021400027"/>
    <d v="2026-10-27T00:00:00"/>
    <x v="5"/>
    <x v="1"/>
    <x v="0"/>
  </r>
  <r>
    <x v="21"/>
    <n v="31"/>
    <n v="2500000"/>
    <n v="1146575.2949999999"/>
    <n v="137589.03539999999"/>
    <n v="3784164.3303999999"/>
    <d v="2026-10-27T00:00:00"/>
    <x v="6"/>
    <x v="1"/>
    <x v="0"/>
  </r>
  <r>
    <x v="13"/>
    <n v="14"/>
    <n v="2128809.23"/>
    <n v="5646560.1699999999"/>
    <n v="677587.21999999927"/>
    <n v="8452956.6199999992"/>
    <d v="2025-11-27T00:00:00"/>
    <x v="4"/>
    <x v="0"/>
    <x v="0"/>
  </r>
  <r>
    <x v="23"/>
    <n v="14"/>
    <n v="2028578.39"/>
    <n v="5231441.83"/>
    <n v="627773.02"/>
    <n v="7887793.2400000002"/>
    <d v="2026-02-27T00:00:00"/>
    <x v="7"/>
    <x v="0"/>
    <x v="0"/>
  </r>
  <r>
    <x v="1"/>
    <n v="50"/>
    <n v="690196.13587103668"/>
    <n v="671965.64791574911"/>
    <n v="80635.877749889885"/>
    <n v="1442797.6615366756"/>
    <d v="2026-10-31T00:00:00"/>
    <x v="0"/>
    <x v="1"/>
    <x v="0"/>
  </r>
  <r>
    <x v="2"/>
    <n v="15"/>
    <n v="7916666.6699999999"/>
    <n v="7482876.71"/>
    <n v="897945.20000000112"/>
    <n v="16297488.58"/>
    <d v="2025-10-02T00:00:00"/>
    <x v="1"/>
    <x v="0"/>
    <x v="0"/>
  </r>
  <r>
    <x v="3"/>
    <n v="39"/>
    <n v="1000033.8794104857"/>
    <n v="1731963.9714367623"/>
    <n v="207835.67657241147"/>
    <n v="2939833.5274196593"/>
    <d v="2026-11-02T00:00:00"/>
    <x v="0"/>
    <x v="1"/>
    <x v="0"/>
  </r>
  <r>
    <x v="28"/>
    <n v="1"/>
    <n v="397235.5"/>
    <n v="452913.77"/>
    <n v="54349.659999999996"/>
    <n v="904498.92999999993"/>
    <d v="2022-02-01T00:00:00"/>
    <x v="1"/>
    <x v="0"/>
    <x v="0"/>
  </r>
  <r>
    <x v="28"/>
    <n v="2"/>
    <n v="397235.5"/>
    <n v="362627.04"/>
    <n v="43515.25"/>
    <n v="803377.79"/>
    <d v="2022-03-01T00:00:00"/>
    <x v="1"/>
    <x v="0"/>
    <x v="0"/>
  </r>
  <r>
    <x v="28"/>
    <n v="3"/>
    <n v="397235.5"/>
    <n v="390009.08"/>
    <n v="46801.09"/>
    <n v="834045.67"/>
    <d v="2022-04-01T00:00:00"/>
    <x v="1"/>
    <x v="0"/>
    <x v="0"/>
  </r>
  <r>
    <x v="28"/>
    <n v="4"/>
    <n v="397235.5"/>
    <n v="378538.22"/>
    <n v="45424.58"/>
    <n v="821198.3"/>
    <d v="2022-05-01T00:00:00"/>
    <x v="1"/>
    <x v="0"/>
    <x v="0"/>
  </r>
  <r>
    <x v="28"/>
    <n v="5"/>
    <n v="397235.5"/>
    <n v="355226.49"/>
    <n v="42627.18"/>
    <n v="795089.16999999993"/>
    <d v="2022-06-01T00:00:00"/>
    <x v="1"/>
    <x v="0"/>
    <x v="0"/>
  </r>
  <r>
    <x v="28"/>
    <n v="6"/>
    <n v="397235.5"/>
    <n v="344125.66"/>
    <n v="41295.07"/>
    <n v="782656.23"/>
    <d v="2022-07-01T00:00:00"/>
    <x v="1"/>
    <x v="0"/>
    <x v="0"/>
  </r>
  <r>
    <x v="28"/>
    <n v="7"/>
    <n v="397235.5"/>
    <n v="344125.66"/>
    <n v="41295.07"/>
    <n v="782656.23"/>
    <d v="2022-08-01T00:00:00"/>
    <x v="1"/>
    <x v="0"/>
    <x v="0"/>
  </r>
  <r>
    <x v="28"/>
    <n v="8"/>
    <n v="397235.5"/>
    <n v="332654.8"/>
    <n v="39918.57"/>
    <n v="769808.87"/>
    <d v="2022-09-01T00:00:00"/>
    <x v="1"/>
    <x v="0"/>
    <x v="0"/>
  </r>
  <r>
    <x v="28"/>
    <n v="9"/>
    <n v="397235.5"/>
    <n v="331544.71999999997"/>
    <n v="39785.369999999995"/>
    <n v="768565.59"/>
    <d v="2022-10-01T00:00:00"/>
    <x v="1"/>
    <x v="0"/>
    <x v="0"/>
  </r>
  <r>
    <x v="28"/>
    <n v="10"/>
    <n v="397235.5"/>
    <n v="289731.59999999998"/>
    <n v="34767.79"/>
    <n v="721734.8899999999"/>
    <d v="2022-11-01T00:00:00"/>
    <x v="1"/>
    <x v="0"/>
    <x v="0"/>
  </r>
  <r>
    <x v="28"/>
    <n v="11"/>
    <n v="397235.5"/>
    <n v="288621.52"/>
    <n v="34634.58"/>
    <n v="720491.60000000009"/>
    <d v="2022-12-01T00:00:00"/>
    <x v="1"/>
    <x v="0"/>
    <x v="0"/>
  </r>
  <r>
    <x v="28"/>
    <n v="12"/>
    <n v="397235.5"/>
    <n v="296022.07"/>
    <n v="35522.65"/>
    <n v="728780.22"/>
    <d v="2023-01-01T00:00:00"/>
    <x v="1"/>
    <x v="0"/>
    <x v="0"/>
  </r>
  <r>
    <x v="28"/>
    <n v="13"/>
    <n v="397235.5"/>
    <n v="266419.86"/>
    <n v="31970.39"/>
    <n v="695625.75"/>
    <d v="2023-02-01T00:00:00"/>
    <x v="1"/>
    <x v="0"/>
    <x v="0"/>
  </r>
  <r>
    <x v="28"/>
    <n v="14"/>
    <n v="397235.5"/>
    <n v="238297.77"/>
    <n v="28595.74"/>
    <n v="664129.01"/>
    <d v="2023-03-01T00:00:00"/>
    <x v="1"/>
    <x v="0"/>
    <x v="0"/>
  </r>
  <r>
    <x v="28"/>
    <n v="15"/>
    <n v="397235.5"/>
    <n v="268640.03000000003"/>
    <n v="32236.799999999999"/>
    <n v="698112.33000000007"/>
    <d v="2023-04-01T00:00:00"/>
    <x v="1"/>
    <x v="0"/>
    <x v="0"/>
  </r>
  <r>
    <x v="28"/>
    <n v="16"/>
    <n v="397235.5"/>
    <n v="225346.8"/>
    <n v="27041.61"/>
    <n v="649623.90999999992"/>
    <d v="2023-05-01T00:00:00"/>
    <x v="1"/>
    <x v="0"/>
    <x v="0"/>
  </r>
  <r>
    <x v="28"/>
    <n v="17"/>
    <n v="397235.5"/>
    <n v="222016.55"/>
    <n v="26641.99"/>
    <n v="645894.04"/>
    <d v="2023-06-01T00:00:00"/>
    <x v="1"/>
    <x v="0"/>
    <x v="0"/>
  </r>
  <r>
    <x v="28"/>
    <n v="18"/>
    <n v="397235.5"/>
    <n v="224976.77"/>
    <n v="26997.210000000003"/>
    <n v="649209.48"/>
    <d v="2023-07-01T00:00:00"/>
    <x v="1"/>
    <x v="0"/>
    <x v="0"/>
  </r>
  <r>
    <x v="28"/>
    <n v="19"/>
    <n v="397235.5"/>
    <n v="193154.4"/>
    <n v="23178.53"/>
    <n v="613568.42999999993"/>
    <d v="2023-08-01T00:00:00"/>
    <x v="1"/>
    <x v="0"/>
    <x v="0"/>
  </r>
  <r>
    <x v="28"/>
    <n v="20"/>
    <n v="397235.5"/>
    <n v="195004.54"/>
    <n v="23400.55"/>
    <n v="615640.59"/>
    <d v="2023-09-01T00:00:00"/>
    <x v="1"/>
    <x v="0"/>
    <x v="0"/>
  </r>
  <r>
    <x v="28"/>
    <n v="21"/>
    <n v="397235.5"/>
    <n v="183533.68"/>
    <n v="22024.050000000003"/>
    <n v="602793.23"/>
    <d v="2023-10-01T00:00:00"/>
    <x v="1"/>
    <x v="0"/>
    <x v="0"/>
  </r>
  <r>
    <x v="28"/>
    <n v="22"/>
    <n v="397235.5"/>
    <n v="166512.42000000001"/>
    <n v="19981.489999999998"/>
    <n v="583729.41"/>
    <d v="2023-11-01T00:00:00"/>
    <x v="1"/>
    <x v="0"/>
    <x v="0"/>
  </r>
  <r>
    <x v="28"/>
    <n v="23"/>
    <n v="397235.5"/>
    <n v="155411.59"/>
    <n v="18649.39"/>
    <n v="571296.48"/>
    <d v="2023-12-01T00:00:00"/>
    <x v="1"/>
    <x v="0"/>
    <x v="0"/>
  </r>
  <r>
    <x v="28"/>
    <n v="24"/>
    <n v="397235.5"/>
    <n v="153931.48000000001"/>
    <n v="18471.78"/>
    <n v="569638.76"/>
    <d v="2024-01-01T00:00:00"/>
    <x v="1"/>
    <x v="0"/>
    <x v="0"/>
  </r>
  <r>
    <x v="28"/>
    <n v="25"/>
    <n v="397235.5"/>
    <n v="133209.93"/>
    <n v="15985.19"/>
    <n v="546430.62"/>
    <d v="2024-02-01T00:00:00"/>
    <x v="1"/>
    <x v="0"/>
    <x v="0"/>
  </r>
  <r>
    <x v="28"/>
    <n v="26"/>
    <n v="397235.5"/>
    <n v="118038.8"/>
    <n v="14164.65"/>
    <n v="529438.94999999995"/>
    <d v="2024-03-01T00:00:00"/>
    <x v="1"/>
    <x v="0"/>
    <x v="0"/>
  </r>
  <r>
    <x v="28"/>
    <n v="27"/>
    <n v="397235.5"/>
    <n v="114708.55"/>
    <n v="13765.029999999999"/>
    <n v="525709.07999999996"/>
    <d v="2024-04-01T00:00:00"/>
    <x v="1"/>
    <x v="0"/>
    <x v="0"/>
  </r>
  <r>
    <x v="28"/>
    <n v="28"/>
    <n v="397235.5"/>
    <n v="103237.7"/>
    <n v="12388.529999999999"/>
    <n v="512861.73"/>
    <d v="2024-05-01T00:00:00"/>
    <x v="1"/>
    <x v="0"/>
    <x v="0"/>
  </r>
  <r>
    <x v="28"/>
    <n v="29"/>
    <n v="397235.5"/>
    <n v="94727.06"/>
    <n v="11367.25"/>
    <n v="503329.81"/>
    <d v="2024-06-01T00:00:00"/>
    <x v="1"/>
    <x v="0"/>
    <x v="0"/>
  </r>
  <r>
    <x v="28"/>
    <n v="30"/>
    <n v="397235.5"/>
    <n v="72525.41"/>
    <n v="8703.0499999999993"/>
    <n v="478463.96"/>
    <d v="2024-07-01T00:00:00"/>
    <x v="1"/>
    <x v="0"/>
    <x v="0"/>
  </r>
  <r>
    <x v="28"/>
    <n v="31"/>
    <n v="397235.5"/>
    <n v="68825.13"/>
    <n v="8259.02"/>
    <n v="474319.65"/>
    <d v="2024-08-01T00:00:00"/>
    <x v="1"/>
    <x v="0"/>
    <x v="0"/>
  </r>
  <r>
    <x v="28"/>
    <n v="32"/>
    <n v="397235.5"/>
    <n v="59204.41"/>
    <n v="7104.53"/>
    <n v="463544.44"/>
    <d v="2024-09-01T00:00:00"/>
    <x v="1"/>
    <x v="0"/>
    <x v="0"/>
  </r>
  <r>
    <x v="28"/>
    <n v="33"/>
    <n v="397235.5"/>
    <n v="42923.199999999997"/>
    <n v="5150.79"/>
    <n v="445309.49"/>
    <d v="2024-10-01T00:00:00"/>
    <x v="1"/>
    <x v="0"/>
    <x v="0"/>
  </r>
  <r>
    <x v="28"/>
    <n v="34"/>
    <n v="397235.5"/>
    <n v="34412.57"/>
    <n v="4129.51"/>
    <n v="435777.58"/>
    <d v="2024-11-01T00:00:00"/>
    <x v="1"/>
    <x v="0"/>
    <x v="0"/>
  </r>
  <r>
    <x v="28"/>
    <n v="35"/>
    <n v="397235.5"/>
    <n v="22941.71"/>
    <n v="2753.01"/>
    <n v="422930.22"/>
    <d v="2024-12-01T00:00:00"/>
    <x v="1"/>
    <x v="0"/>
    <x v="0"/>
  </r>
  <r>
    <x v="28"/>
    <n v="36"/>
    <n v="397235.5"/>
    <n v="11470.86"/>
    <n v="1376.5"/>
    <n v="410082.86"/>
    <d v="2025-01-01T00:00:00"/>
    <x v="1"/>
    <x v="0"/>
    <x v="0"/>
  </r>
  <r>
    <x v="29"/>
    <n v="1"/>
    <n v="8333333.333333333"/>
    <n v="5414383.5599999996"/>
    <n v="649726.02000000048"/>
    <n v="14397442.949999999"/>
    <d v="2024-05-16T00:00:00"/>
    <x v="2"/>
    <x v="0"/>
    <x v="1"/>
  </r>
  <r>
    <x v="29"/>
    <n v="2"/>
    <n v="8333333.333333333"/>
    <n v="5459503.4199999999"/>
    <n v="655140.41000000015"/>
    <n v="14447977.16"/>
    <d v="2024-06-16T00:00:00"/>
    <x v="2"/>
    <x v="0"/>
    <x v="1"/>
  </r>
  <r>
    <x v="29"/>
    <n v="3"/>
    <n v="8333333.333333333"/>
    <n v="4060787.67"/>
    <n v="487294.52999999933"/>
    <n v="12881415.529999999"/>
    <d v="2024-07-16T00:00:00"/>
    <x v="2"/>
    <x v="0"/>
    <x v="1"/>
  </r>
  <r>
    <x v="29"/>
    <n v="4"/>
    <n v="8333333.333333333"/>
    <n v="4060787.67"/>
    <n v="-1920513.7100000009"/>
    <n v="10473607.289999999"/>
    <d v="2024-08-16T00:00:00"/>
    <x v="2"/>
    <x v="0"/>
    <x v="1"/>
  </r>
  <r>
    <x v="29"/>
    <n v="5"/>
    <n v="8333333.333333333"/>
    <n v="3609589.04"/>
    <n v="433150.68999999948"/>
    <n v="12376073.060000001"/>
    <d v="2024-09-16T00:00:00"/>
    <x v="2"/>
    <x v="0"/>
    <x v="1"/>
  </r>
  <r>
    <x v="29"/>
    <n v="6"/>
    <n v="8333333.333333333"/>
    <n v="3263670.09"/>
    <n v="391640.41000000015"/>
    <n v="11988643.83"/>
    <d v="2024-10-16T00:00:00"/>
    <x v="2"/>
    <x v="0"/>
    <x v="1"/>
  </r>
  <r>
    <x v="29"/>
    <n v="7"/>
    <n v="8333333.333333333"/>
    <n v="2616952.0499999998"/>
    <n v="315034.25000000186"/>
    <n v="11265319.630000001"/>
    <d v="2024-11-16T00:00:00"/>
    <x v="2"/>
    <x v="0"/>
    <x v="1"/>
  </r>
  <r>
    <x v="29"/>
    <n v="8"/>
    <n v="8333333.333333333"/>
    <n v="2255993.15"/>
    <n v="270719.1799999997"/>
    <n v="10860045.66"/>
    <d v="2024-12-16T00:00:00"/>
    <x v="2"/>
    <x v="0"/>
    <x v="1"/>
  </r>
  <r>
    <x v="29"/>
    <n v="9"/>
    <n v="8333333.333333333"/>
    <n v="887671.22916666628"/>
    <n v="106520.54749999994"/>
    <n v="9327525.1099999994"/>
    <d v="2025-01-16T00:00:00"/>
    <x v="2"/>
    <x v="0"/>
    <x v="1"/>
  </r>
  <r>
    <x v="29"/>
    <n v="10"/>
    <n v="8333333.333333333"/>
    <n v="532191.78273809864"/>
    <n v="63863.013928571832"/>
    <n v="8929388.1300000027"/>
    <d v="2025-02-16T00:00:00"/>
    <x v="2"/>
    <x v="0"/>
    <x v="1"/>
  </r>
  <r>
    <x v="29"/>
    <n v="11"/>
    <n v="8333333.333333333"/>
    <n v="321917.80952381168"/>
    <n v="38630.137142857398"/>
    <n v="8693881.2800000031"/>
    <d v="2025-03-16T00:00:00"/>
    <x v="2"/>
    <x v="0"/>
    <x v="1"/>
  </r>
  <r>
    <x v="29"/>
    <n v="12"/>
    <n v="8333333.333333333"/>
    <n v="451198.63"/>
    <n v="54143.840000000782"/>
    <n v="8838675.8000000007"/>
    <d v="2025-04-16T00:00:00"/>
    <x v="2"/>
    <x v="0"/>
    <x v="1"/>
  </r>
  <r>
    <x v="30"/>
    <n v="1"/>
    <n v="19166666.666666668"/>
    <n v="5762602.7400000002"/>
    <n v="691512.33000000194"/>
    <n v="25620781.809999999"/>
    <d v="2024-07-29T00:00:00"/>
    <x v="2"/>
    <x v="0"/>
    <x v="1"/>
  </r>
  <r>
    <x v="30"/>
    <n v="2"/>
    <n v="19166666.666666668"/>
    <n v="5111986.3"/>
    <n v="426157.52999999747"/>
    <n v="24704810.489999998"/>
    <d v="2024-08-29T00:00:00"/>
    <x v="2"/>
    <x v="0"/>
    <x v="1"/>
  </r>
  <r>
    <x v="30"/>
    <n v="3"/>
    <n v="19166666.666666668"/>
    <n v="4647260.2699999996"/>
    <n v="557671.23000000045"/>
    <n v="24371598.16"/>
    <d v="2024-09-29T00:00:00"/>
    <x v="2"/>
    <x v="0"/>
    <x v="1"/>
  </r>
  <r>
    <x v="30"/>
    <n v="4"/>
    <n v="19166666.666666668"/>
    <n v="4321952.05"/>
    <n v="518634.25"/>
    <n v="24007252.960000001"/>
    <d v="2024-10-29T00:00:00"/>
    <x v="2"/>
    <x v="0"/>
    <x v="1"/>
  </r>
  <r>
    <x v="30"/>
    <n v="5"/>
    <n v="19166666.666666668"/>
    <n v="3593881.28"/>
    <n v="431265.75"/>
    <n v="23191813.690000001"/>
    <d v="2024-11-29T00:00:00"/>
    <x v="2"/>
    <x v="0"/>
    <x v="1"/>
  </r>
  <r>
    <x v="30"/>
    <n v="6"/>
    <n v="19166666.666666668"/>
    <n v="3253082.19"/>
    <n v="390369.8599999994"/>
    <n v="22810118.710000001"/>
    <d v="2024-12-29T00:00:00"/>
    <x v="2"/>
    <x v="0"/>
    <x v="1"/>
  </r>
  <r>
    <x v="30"/>
    <n v="7"/>
    <n v="19166666.666666668"/>
    <n v="2772602.7351190466"/>
    <n v="332712.3282142856"/>
    <n v="22271981.73"/>
    <d v="2025-01-29T00:00:00"/>
    <x v="2"/>
    <x v="0"/>
    <x v="1"/>
  </r>
  <r>
    <x v="30"/>
    <n v="8"/>
    <n v="19166666.666666668"/>
    <n v="2168721.46"/>
    <n v="260246.5700000003"/>
    <n v="21595634.690000001"/>
    <d v="2025-02-28T00:00:00"/>
    <x v="2"/>
    <x v="0"/>
    <x v="1"/>
  </r>
  <r>
    <x v="30"/>
    <n v="9"/>
    <n v="19166666.666666668"/>
    <n v="1476883.547619015"/>
    <n v="177226.0257142818"/>
    <n v="20820776.239999965"/>
    <d v="2025-03-29T00:00:00"/>
    <x v="2"/>
    <x v="0"/>
    <x v="1"/>
  </r>
  <r>
    <x v="30"/>
    <n v="10"/>
    <n v="19166666.666666668"/>
    <n v="1394178.08"/>
    <n v="167301.37000000104"/>
    <n v="20728146.109999999"/>
    <d v="2025-04-29T00:00:00"/>
    <x v="2"/>
    <x v="0"/>
    <x v="1"/>
  </r>
  <r>
    <x v="30"/>
    <n v="11"/>
    <n v="19166666.666666668"/>
    <n v="1049965.7440476185"/>
    <n v="125995.88928571422"/>
    <n v="20342628.300000001"/>
    <d v="2025-05-29T00:00:00"/>
    <x v="2"/>
    <x v="0"/>
    <x v="1"/>
  </r>
  <r>
    <x v="30"/>
    <n v="12"/>
    <n v="19166666.666666668"/>
    <n v="434958.6190475882"/>
    <n v="52195.034285710579"/>
    <n v="19653820.319999967"/>
    <d v="2025-06-29T00:00:00"/>
    <x v="2"/>
    <x v="0"/>
    <x v="1"/>
  </r>
  <r>
    <x v="16"/>
    <n v="15"/>
    <n v="8958333.3300000001"/>
    <n v="8749714.6099999994"/>
    <n v="1049965.7500000019"/>
    <n v="18758013.690000001"/>
    <d v="2025-09-18T00:00:00"/>
    <x v="1"/>
    <x v="0"/>
    <x v="0"/>
  </r>
  <r>
    <x v="16"/>
    <n v="16"/>
    <n v="8958333.3300000001"/>
    <n v="8835616.4399999995"/>
    <n v="1060273.9800000004"/>
    <n v="18854223.75"/>
    <d v="2025-10-18T00:00:00"/>
    <x v="1"/>
    <x v="0"/>
    <x v="0"/>
  </r>
  <r>
    <x v="16"/>
    <n v="17"/>
    <n v="8958333.3300000001"/>
    <n v="7829337.9000000004"/>
    <n v="939520.55000000075"/>
    <n v="17727191.780000001"/>
    <d v="2025-11-18T00:00:00"/>
    <x v="1"/>
    <x v="0"/>
    <x v="0"/>
  </r>
  <r>
    <x v="16"/>
    <n v="18"/>
    <n v="8958333.3300000001"/>
    <n v="7915239.7300000004"/>
    <n v="949828.76999999769"/>
    <n v="17823401.829999998"/>
    <d v="2025-12-18T00:00:00"/>
    <x v="1"/>
    <x v="0"/>
    <x v="0"/>
  </r>
  <r>
    <x v="16"/>
    <n v="19"/>
    <n v="8958333.3300000001"/>
    <n v="8246575.3399999999"/>
    <n v="989589.04000000097"/>
    <n v="18194497.710000001"/>
    <d v="2026-01-19T00:00:00"/>
    <x v="1"/>
    <x v="0"/>
    <x v="0"/>
  </r>
  <r>
    <x v="16"/>
    <n v="20"/>
    <n v="8958333.3300000001"/>
    <n v="7547089.04"/>
    <n v="905650.68999999948"/>
    <n v="17411073.059999999"/>
    <d v="2026-02-18T00:00:00"/>
    <x v="1"/>
    <x v="0"/>
    <x v="0"/>
  </r>
  <r>
    <x v="16"/>
    <n v="21"/>
    <n v="8958333.3300000001"/>
    <n v="6872146.1200000001"/>
    <n v="824657.52999999933"/>
    <n v="16655136.98"/>
    <d v="2026-03-18T00:00:00"/>
    <x v="1"/>
    <x v="0"/>
    <x v="0"/>
  </r>
  <r>
    <x v="16"/>
    <n v="22"/>
    <n v="8958333.3300000001"/>
    <n v="7896832.1900000004"/>
    <n v="947619.85999999754"/>
    <n v="17802785.379999999"/>
    <d v="2026-04-18T00:00:00"/>
    <x v="1"/>
    <x v="0"/>
    <x v="0"/>
  </r>
  <r>
    <x v="16"/>
    <n v="23"/>
    <n v="8958333.3300000001"/>
    <n v="6528538.8099999996"/>
    <n v="783424.66000000201"/>
    <n v="16270296.800000001"/>
    <d v="2026-05-18T00:00:00"/>
    <x v="1"/>
    <x v="1"/>
    <x v="0"/>
  </r>
  <r>
    <x v="16"/>
    <n v="24"/>
    <n v="8958333.3300000001"/>
    <n v="7037813.9299999997"/>
    <n v="844537.66999999993"/>
    <n v="16840684.93"/>
    <d v="2026-06-18T00:00:00"/>
    <x v="1"/>
    <x v="1"/>
    <x v="0"/>
  </r>
  <r>
    <x v="16"/>
    <n v="25"/>
    <n v="8958333.3300000001"/>
    <n v="7068493.1500000004"/>
    <n v="848219.1799999997"/>
    <n v="16875045.66"/>
    <d v="2026-07-18T00:00:00"/>
    <x v="1"/>
    <x v="1"/>
    <x v="0"/>
  </r>
  <r>
    <x v="2"/>
    <n v="16"/>
    <n v="7916666.6699999999"/>
    <n v="7808219.1799999997"/>
    <n v="936986.30000000075"/>
    <n v="16661872.15"/>
    <d v="2025-11-02T00:00:00"/>
    <x v="1"/>
    <x v="0"/>
    <x v="0"/>
  </r>
  <r>
    <x v="16"/>
    <n v="26"/>
    <n v="8958333.3300000001"/>
    <n v="6227882.4199999999"/>
    <n v="747345.8900000006"/>
    <n v="15933561.640000001"/>
    <d v="2026-08-18T00:00:00"/>
    <x v="1"/>
    <x v="1"/>
    <x v="0"/>
  </r>
  <r>
    <x v="16"/>
    <n v="27"/>
    <n v="8958333.3300000001"/>
    <n v="6467180.3700000001"/>
    <n v="776061.65000000037"/>
    <n v="16201575.35"/>
    <d v="2026-09-18T00:00:00"/>
    <x v="1"/>
    <x v="1"/>
    <x v="0"/>
  </r>
  <r>
    <x v="4"/>
    <n v="23"/>
    <n v="14166666.67"/>
    <n v="14630867.58"/>
    <n v="1755704.1099999994"/>
    <n v="30553238.359999999"/>
    <d v="2026-10-04T00:00:00"/>
    <x v="1"/>
    <x v="1"/>
    <x v="0"/>
  </r>
  <r>
    <x v="5"/>
    <n v="21"/>
    <n v="14278433.619999999"/>
    <n v="8343463.6100000003"/>
    <n v="1001215.63"/>
    <n v="23623112.859999999"/>
    <d v="2026-11-07T00:00:00"/>
    <x v="0"/>
    <x v="1"/>
    <x v="0"/>
  </r>
  <r>
    <x v="7"/>
    <n v="47"/>
    <n v="827106.43989376409"/>
    <n v="956624.08571040875"/>
    <n v="100445.52899959292"/>
    <n v="1884176.0546037657"/>
    <d v="2026-11-12T00:00:00"/>
    <x v="0"/>
    <x v="1"/>
    <x v="0"/>
  </r>
  <r>
    <x v="8"/>
    <n v="16"/>
    <n v="1251522.6599999999"/>
    <n v="9305279.2699999996"/>
    <n v="1117564.04"/>
    <n v="11674365.969999999"/>
    <d v="2026-11-13T00:00:00"/>
    <x v="0"/>
    <x v="1"/>
    <x v="0"/>
  </r>
  <r>
    <x v="10"/>
    <n v="25"/>
    <n v="5791568.4435738791"/>
    <n v="8255451.1998920422"/>
    <n v="990654.14398704504"/>
    <n v="15037673.787452966"/>
    <d v="2026-11-17T00:00:00"/>
    <x v="3"/>
    <x v="1"/>
    <x v="0"/>
  </r>
  <r>
    <x v="11"/>
    <n v="16"/>
    <n v="2083333.33"/>
    <n v="2383561.64"/>
    <n v="286027.39000000013"/>
    <n v="4752922.3600000003"/>
    <d v="2026-02-17T00:00:00"/>
    <x v="1"/>
    <x v="0"/>
    <x v="0"/>
  </r>
  <r>
    <x v="18"/>
    <n v="15"/>
    <n v="2809672.28"/>
    <n v="7211914.9500000002"/>
    <n v="865429.79"/>
    <n v="10887017.02"/>
    <d v="2026-03-17T00:00:00"/>
    <x v="4"/>
    <x v="0"/>
    <x v="0"/>
  </r>
  <r>
    <x v="12"/>
    <n v="23"/>
    <n v="1811790.4"/>
    <n v="3371789.2"/>
    <n v="404614.71"/>
    <n v="5588194.3099999996"/>
    <d v="2026-11-17T00:00:00"/>
    <x v="4"/>
    <x v="1"/>
    <x v="0"/>
  </r>
  <r>
    <x v="14"/>
    <n v="20"/>
    <n v="13862819.422971725"/>
    <n v="8932414.6716936342"/>
    <n v="1071889.760603236"/>
    <n v="23867123.855268598"/>
    <d v="2026-11-17T00:00:00"/>
    <x v="0"/>
    <x v="1"/>
    <x v="0"/>
  </r>
  <r>
    <x v="15"/>
    <n v="16"/>
    <n v="1305359.96"/>
    <n v="4469149.6100000003"/>
    <n v="536744.86"/>
    <n v="6311254.4299999997"/>
    <d v="2026-11-17T00:00:00"/>
    <x v="0"/>
    <x v="1"/>
    <x v="0"/>
  </r>
  <r>
    <x v="16"/>
    <n v="28"/>
    <n v="8958333.3300000001"/>
    <n v="6276969.1799999997"/>
    <n v="753236.30000000075"/>
    <n v="15988538.810000001"/>
    <d v="2026-10-18T00:00:00"/>
    <x v="1"/>
    <x v="1"/>
    <x v="0"/>
  </r>
  <r>
    <x v="0"/>
    <n v="28"/>
    <n v="726096.8"/>
    <n v="3863327.45"/>
    <n v="463599.29"/>
    <n v="5053023.54"/>
    <d v="2026-11-19T00:00:00"/>
    <x v="0"/>
    <x v="1"/>
    <x v="0"/>
  </r>
  <r>
    <x v="17"/>
    <n v="27"/>
    <n v="2722863.03"/>
    <n v="14487477.93"/>
    <n v="1738497.35"/>
    <n v="18948838.309999999"/>
    <d v="2026-11-19T00:00:00"/>
    <x v="0"/>
    <x v="1"/>
    <x v="0"/>
  </r>
  <r>
    <x v="19"/>
    <n v="23"/>
    <n v="1213556.3500000001"/>
    <n v="3692760.94"/>
    <n v="443131.3"/>
    <n v="5349448.59"/>
    <d v="2026-11-26T00:00:00"/>
    <x v="5"/>
    <x v="1"/>
    <x v="0"/>
  </r>
  <r>
    <x v="20"/>
    <n v="29"/>
    <n v="3175662.7622711919"/>
    <n v="5277521.0059882347"/>
    <n v="633302.52071858814"/>
    <n v="9086486.2889780141"/>
    <d v="2026-11-27T00:00:00"/>
    <x v="5"/>
    <x v="1"/>
    <x v="0"/>
  </r>
  <r>
    <x v="21"/>
    <n v="32"/>
    <n v="2500000"/>
    <n v="1082876.6675"/>
    <n v="129945.20009999999"/>
    <n v="3712821.8676"/>
    <d v="2026-11-27T00:00:00"/>
    <x v="6"/>
    <x v="1"/>
    <x v="0"/>
  </r>
  <r>
    <x v="13"/>
    <n v="15"/>
    <n v="2188298.7999999998"/>
    <n v="5587070.5999999996"/>
    <n v="670448.46999999974"/>
    <n v="8445817.8699999992"/>
    <d v="2025-12-27T00:00:00"/>
    <x v="4"/>
    <x v="0"/>
    <x v="0"/>
  </r>
  <r>
    <x v="23"/>
    <n v="15"/>
    <n v="2084364.29"/>
    <n v="5175655.93"/>
    <n v="621078.71"/>
    <n v="7881098.9299999997"/>
    <d v="2026-03-27T00:00:00"/>
    <x v="7"/>
    <x v="0"/>
    <x v="0"/>
  </r>
  <r>
    <x v="1"/>
    <n v="51"/>
    <n v="710902.01994716784"/>
    <n v="651259.76383961795"/>
    <n v="78151.171660754146"/>
    <n v="1440312.9554475399"/>
    <d v="2026-11-30T00:00:00"/>
    <x v="0"/>
    <x v="1"/>
    <x v="0"/>
  </r>
  <r>
    <x v="2"/>
    <n v="17"/>
    <n v="7916666.6699999999"/>
    <n v="6918949.7699999996"/>
    <n v="830273.98000000045"/>
    <n v="15665890.42"/>
    <d v="2025-12-02T00:00:00"/>
    <x v="1"/>
    <x v="0"/>
    <x v="0"/>
  </r>
  <r>
    <x v="3"/>
    <n v="40"/>
    <n v="1030034.8957928002"/>
    <n v="1701962.9550544478"/>
    <n v="204235.55460653373"/>
    <n v="2936233.4054537816"/>
    <d v="2026-12-02T00:00:00"/>
    <x v="0"/>
    <x v="1"/>
    <x v="0"/>
  </r>
  <r>
    <x v="4"/>
    <n v="24"/>
    <n v="14166666.67"/>
    <n v="13786301.369999999"/>
    <n v="1654356.1600000001"/>
    <n v="29607324.199999999"/>
    <d v="2026-11-04T00:00:00"/>
    <x v="1"/>
    <x v="1"/>
    <x v="0"/>
  </r>
  <r>
    <x v="5"/>
    <n v="22"/>
    <n v="14695050.93"/>
    <n v="7926846.2999999998"/>
    <n v="951221.55"/>
    <n v="23573118.780000001"/>
    <d v="2026-12-07T00:00:00"/>
    <x v="0"/>
    <x v="1"/>
    <x v="0"/>
  </r>
  <r>
    <x v="7"/>
    <n v="48"/>
    <n v="851919.63309057697"/>
    <n v="931810.89251359587"/>
    <n v="97840.143713927566"/>
    <n v="1881570.6693181004"/>
    <d v="2026-12-12T00:00:00"/>
    <x v="0"/>
    <x v="1"/>
    <x v="0"/>
  </r>
  <r>
    <x v="8"/>
    <n v="17"/>
    <n v="1290804.18"/>
    <n v="9265997.75"/>
    <n v="1112846.33"/>
    <n v="11669648.26"/>
    <d v="2026-12-13T00:00:00"/>
    <x v="0"/>
    <x v="1"/>
    <x v="0"/>
  </r>
  <r>
    <x v="10"/>
    <n v="26"/>
    <n v="5935875.0239595948"/>
    <n v="8111144.6195063265"/>
    <n v="973337.35434075922"/>
    <n v="15020356.997806681"/>
    <d v="2026-12-17T00:00:00"/>
    <x v="3"/>
    <x v="1"/>
    <x v="0"/>
  </r>
  <r>
    <x v="11"/>
    <n v="17"/>
    <n v="2083333.33"/>
    <n v="2250228.31"/>
    <n v="270027.39000000013"/>
    <n v="4603589.03"/>
    <d v="2026-03-17T00:00:00"/>
    <x v="1"/>
    <x v="0"/>
    <x v="0"/>
  </r>
  <r>
    <x v="18"/>
    <n v="16"/>
    <n v="2888188.58"/>
    <n v="7133398.6500000004"/>
    <n v="856007.84"/>
    <n v="10877595.07"/>
    <d v="2026-04-17T00:00:00"/>
    <x v="4"/>
    <x v="0"/>
    <x v="0"/>
  </r>
  <r>
    <x v="12"/>
    <n v="24"/>
    <n v="1862420.89"/>
    <n v="3321158.71"/>
    <n v="398539.04"/>
    <n v="5582118.6399999997"/>
    <d v="2026-12-17T00:00:00"/>
    <x v="4"/>
    <x v="1"/>
    <x v="0"/>
  </r>
  <r>
    <x v="14"/>
    <n v="21"/>
    <n v="14274371.8745912"/>
    <n v="8520862.22007416"/>
    <n v="1022503.4664088992"/>
    <n v="23817737.561074261"/>
    <d v="2026-12-17T00:00:00"/>
    <x v="0"/>
    <x v="1"/>
    <x v="0"/>
  </r>
  <r>
    <x v="15"/>
    <n v="17"/>
    <n v="1349214.69"/>
    <n v="4425294.88"/>
    <n v="531477.91"/>
    <n v="6305987.4800000004"/>
    <d v="2026-12-17T00:00:00"/>
    <x v="0"/>
    <x v="1"/>
    <x v="0"/>
  </r>
  <r>
    <x v="16"/>
    <n v="29"/>
    <n v="8958333.3300000001"/>
    <n v="5890410.96"/>
    <n v="706849.31000000052"/>
    <n v="15555593.6"/>
    <d v="2026-11-18T00:00:00"/>
    <x v="1"/>
    <x v="1"/>
    <x v="0"/>
  </r>
  <r>
    <x v="0"/>
    <n v="29"/>
    <n v="749968.47"/>
    <n v="3839455.78"/>
    <n v="460734.7"/>
    <n v="5050158.95"/>
    <d v="2026-12-19T00:00:00"/>
    <x v="0"/>
    <x v="1"/>
    <x v="0"/>
  </r>
  <r>
    <x v="17"/>
    <n v="28"/>
    <n v="2812381.82"/>
    <n v="14397959.140000001"/>
    <n v="1727755.1"/>
    <n v="18938096.059999999"/>
    <d v="2026-12-19T00:00:00"/>
    <x v="0"/>
    <x v="1"/>
    <x v="0"/>
  </r>
  <r>
    <x v="19"/>
    <n v="24"/>
    <n v="1247940.44"/>
    <n v="3658376.85"/>
    <n v="439005.21"/>
    <n v="5345322.5"/>
    <d v="2026-12-26T00:00:00"/>
    <x v="5"/>
    <x v="1"/>
    <x v="0"/>
  </r>
  <r>
    <x v="20"/>
    <n v="30"/>
    <n v="3247115.1744222939"/>
    <n v="5206068.5938371327"/>
    <n v="624728.23126045591"/>
    <n v="9077911.9995198827"/>
    <d v="2026-12-27T00:00:00"/>
    <x v="5"/>
    <x v="1"/>
    <x v="0"/>
  </r>
  <r>
    <x v="21"/>
    <n v="33"/>
    <n v="2500000"/>
    <n v="1019178.04"/>
    <n v="122301.3648"/>
    <n v="3641479.4048000001"/>
    <d v="2026-12-27T00:00:00"/>
    <x v="6"/>
    <x v="1"/>
    <x v="0"/>
  </r>
  <r>
    <x v="13"/>
    <n v="16"/>
    <n v="2249450.81"/>
    <n v="5525918.5899999999"/>
    <n v="663110.23000000091"/>
    <n v="8438479.6300000008"/>
    <d v="2026-01-27T00:00:00"/>
    <x v="4"/>
    <x v="0"/>
    <x v="0"/>
  </r>
  <r>
    <x v="23"/>
    <n v="16"/>
    <n v="2141684.31"/>
    <n v="5118335.91"/>
    <n v="614200.31000000006"/>
    <n v="7874220.5300000003"/>
    <d v="2026-04-27T00:00:00"/>
    <x v="7"/>
    <x v="1"/>
    <x v="0"/>
  </r>
  <r>
    <x v="1"/>
    <n v="52"/>
    <n v="732229.08054558281"/>
    <n v="629932.70324120298"/>
    <n v="75591.924388944361"/>
    <n v="1437753.7081757302"/>
    <d v="2026-12-31T00:00:00"/>
    <x v="0"/>
    <x v="1"/>
    <x v="0"/>
  </r>
  <r>
    <x v="2"/>
    <n v="18"/>
    <n v="7916666.6699999999"/>
    <n v="7228025.1100000003"/>
    <n v="867363.02000000142"/>
    <n v="16012054.800000001"/>
    <d v="2026-01-02T00:00:00"/>
    <x v="1"/>
    <x v="0"/>
    <x v="0"/>
  </r>
  <r>
    <x v="3"/>
    <n v="41"/>
    <n v="1060935.9426665842"/>
    <n v="1671061.9081806638"/>
    <n v="200527.42898167967"/>
    <n v="2932525.2798289275"/>
    <d v="2027-01-02T00:00:00"/>
    <x v="0"/>
    <x v="1"/>
    <x v="0"/>
  </r>
  <r>
    <x v="4"/>
    <n v="25"/>
    <n v="14166666.67"/>
    <n v="13413698.630000001"/>
    <n v="1609643.8399999999"/>
    <n v="29190009.140000001"/>
    <d v="2026-12-04T00:00:00"/>
    <x v="1"/>
    <x v="1"/>
    <x v="0"/>
  </r>
  <r>
    <x v="5"/>
    <n v="23"/>
    <n v="15123824.33"/>
    <n v="7498072.9000000004"/>
    <n v="899768.74"/>
    <n v="23521665.969999999"/>
    <d v="2027-01-07T00:00:00"/>
    <x v="0"/>
    <x v="1"/>
    <x v="0"/>
  </r>
  <r>
    <x v="7"/>
    <n v="49"/>
    <n v="877477.2220832943"/>
    <n v="906253.30352087854"/>
    <n v="95156.59686969225"/>
    <n v="1878887.122473865"/>
    <d v="2027-01-12T00:00:00"/>
    <x v="0"/>
    <x v="1"/>
    <x v="0"/>
  </r>
  <r>
    <x v="8"/>
    <n v="18"/>
    <n v="1331318.6399999999"/>
    <n v="9225483.2899999991"/>
    <n v="1107980.55"/>
    <n v="11664782.48"/>
    <d v="2027-01-13T00:00:00"/>
    <x v="0"/>
    <x v="1"/>
    <x v="0"/>
  </r>
  <r>
    <x v="2"/>
    <n v="19"/>
    <n v="7916666.6699999999"/>
    <n v="7059931.5099999998"/>
    <n v="847191.78000000119"/>
    <n v="15823789.960000001"/>
    <d v="2026-02-02T00:00:00"/>
    <x v="1"/>
    <x v="0"/>
    <x v="0"/>
  </r>
  <r>
    <x v="2"/>
    <n v="20"/>
    <n v="7916666.6699999999"/>
    <n v="6224885.8399999999"/>
    <n v="746986.30000000075"/>
    <n v="14888538.810000001"/>
    <d v="2026-03-02T00:00:00"/>
    <x v="1"/>
    <x v="0"/>
    <x v="0"/>
  </r>
  <r>
    <x v="2"/>
    <n v="21"/>
    <n v="7916666.6699999999"/>
    <n v="6723744.29"/>
    <n v="806849.31000000052"/>
    <n v="15447260.27"/>
    <d v="2026-04-02T00:00:00"/>
    <x v="1"/>
    <x v="0"/>
    <x v="0"/>
  </r>
  <r>
    <x v="2"/>
    <n v="22"/>
    <n v="7916666.6699999999"/>
    <n v="6767123.29"/>
    <n v="812054.79999999888"/>
    <n v="15495844.76"/>
    <d v="2026-05-02T00:00:00"/>
    <x v="1"/>
    <x v="1"/>
    <x v="0"/>
  </r>
  <r>
    <x v="2"/>
    <n v="23"/>
    <n v="7916666.6699999999"/>
    <n v="5975456.6200000001"/>
    <n v="717054.79999999888"/>
    <n v="14609178.09"/>
    <d v="2026-06-02T00:00:00"/>
    <x v="1"/>
    <x v="1"/>
    <x v="0"/>
  </r>
  <r>
    <x v="2"/>
    <n v="24"/>
    <n v="7916666.6699999999"/>
    <n v="6018835.6200000001"/>
    <n v="722260.27000000142"/>
    <n v="14657762.560000001"/>
    <d v="2026-07-02T00:00:00"/>
    <x v="1"/>
    <x v="1"/>
    <x v="0"/>
  </r>
  <r>
    <x v="2"/>
    <n v="25"/>
    <n v="7916666.6699999999"/>
    <n v="6246575.3399999999"/>
    <n v="749589.04000000097"/>
    <n v="14912831.050000001"/>
    <d v="2026-08-02T00:00:00"/>
    <x v="1"/>
    <x v="1"/>
    <x v="0"/>
  </r>
  <r>
    <x v="2"/>
    <n v="26"/>
    <n v="7916666.6699999999"/>
    <n v="5693493.1500000004"/>
    <n v="683219.1799999997"/>
    <n v="14293379"/>
    <d v="2026-09-02T00:00:00"/>
    <x v="1"/>
    <x v="1"/>
    <x v="0"/>
  </r>
  <r>
    <x v="2"/>
    <n v="27"/>
    <n v="7916666.6699999999"/>
    <n v="5530821.9199999999"/>
    <n v="663698.63000000082"/>
    <n v="14111187.220000001"/>
    <d v="2026-10-02T00:00:00"/>
    <x v="1"/>
    <x v="1"/>
    <x v="0"/>
  </r>
  <r>
    <x v="2"/>
    <n v="28"/>
    <n v="7916666.6699999999"/>
    <n v="5547089.04"/>
    <n v="665650.68999999948"/>
    <n v="14129406.4"/>
    <d v="2026-11-02T00:00:00"/>
    <x v="1"/>
    <x v="1"/>
    <x v="0"/>
  </r>
  <r>
    <x v="16"/>
    <n v="30"/>
    <n v="8958333.3300000001"/>
    <n v="5706335.6200000001"/>
    <n v="684760.27000000142"/>
    <n v="15349429.220000001"/>
    <d v="2026-12-18T00:00:00"/>
    <x v="1"/>
    <x v="1"/>
    <x v="0"/>
  </r>
  <r>
    <x v="2"/>
    <n v="29"/>
    <n v="7916666.6699999999"/>
    <n v="5205479.45"/>
    <n v="624657.52999999933"/>
    <n v="13746803.65"/>
    <d v="2026-12-02T00:00:00"/>
    <x v="1"/>
    <x v="1"/>
    <x v="0"/>
  </r>
  <r>
    <x v="2"/>
    <n v="30"/>
    <n v="7916666.6699999999"/>
    <n v="5547089.04"/>
    <n v="665650.68999999948"/>
    <n v="14129406.4"/>
    <d v="2027-01-02T00:00:00"/>
    <x v="1"/>
    <x v="1"/>
    <x v="0"/>
  </r>
  <r>
    <x v="10"/>
    <n v="27"/>
    <n v="6083777.2433065875"/>
    <n v="7963242.4001593338"/>
    <n v="955589.08801912004"/>
    <n v="15002608.731485041"/>
    <d v="2027-01-17T00:00:00"/>
    <x v="3"/>
    <x v="1"/>
    <x v="0"/>
  </r>
  <r>
    <x v="11"/>
    <n v="18"/>
    <n v="2083333.33"/>
    <n v="2434703.2000000002"/>
    <n v="292164.38999999966"/>
    <n v="4810200.92"/>
    <d v="2026-04-17T00:00:00"/>
    <x v="1"/>
    <x v="0"/>
    <x v="0"/>
  </r>
  <r>
    <x v="18"/>
    <n v="17"/>
    <n v="2968899"/>
    <n v="7052688.2300000004"/>
    <n v="846322.58"/>
    <n v="10867909.810000001"/>
    <d v="2026-05-17T00:00:00"/>
    <x v="4"/>
    <x v="1"/>
    <x v="0"/>
  </r>
  <r>
    <x v="12"/>
    <n v="25"/>
    <n v="1914466.24"/>
    <n v="3269113.36"/>
    <n v="392293.6"/>
    <n v="5575873.2000000002"/>
    <d v="2027-01-17T00:00:00"/>
    <x v="4"/>
    <x v="1"/>
    <x v="0"/>
  </r>
  <r>
    <x v="14"/>
    <n v="22"/>
    <n v="14698142.289618125"/>
    <n v="8097091.8050472345"/>
    <n v="971651.01660566812"/>
    <n v="23766885.111271027"/>
    <d v="2027-01-17T00:00:00"/>
    <x v="0"/>
    <x v="1"/>
    <x v="0"/>
  </r>
  <r>
    <x v="15"/>
    <n v="18"/>
    <n v="1394542.75"/>
    <n v="4379966.82"/>
    <n v="526034.02"/>
    <n v="6300543.5899999999"/>
    <d v="2027-01-17T00:00:00"/>
    <x v="0"/>
    <x v="1"/>
    <x v="0"/>
  </r>
  <r>
    <x v="16"/>
    <n v="31"/>
    <n v="8958333.3300000001"/>
    <n v="5706335.6200000001"/>
    <n v="684760.27000000142"/>
    <n v="15349429.220000001"/>
    <d v="2027-01-18T00:00:00"/>
    <x v="1"/>
    <x v="1"/>
    <x v="0"/>
  </r>
  <r>
    <x v="0"/>
    <n v="30"/>
    <n v="774624.97"/>
    <n v="3814799.28"/>
    <n v="457775.91"/>
    <n v="5047200.16"/>
    <d v="2027-01-19T00:00:00"/>
    <x v="0"/>
    <x v="1"/>
    <x v="0"/>
  </r>
  <r>
    <x v="17"/>
    <n v="29"/>
    <n v="2904843.68"/>
    <n v="14305497.279999999"/>
    <n v="1716659.67"/>
    <n v="18927000.629999999"/>
    <d v="2027-01-19T00:00:00"/>
    <x v="0"/>
    <x v="1"/>
    <x v="0"/>
  </r>
  <r>
    <x v="19"/>
    <n v="25"/>
    <n v="1283298.76"/>
    <n v="3623018.53"/>
    <n v="434762.21"/>
    <n v="5341079.5"/>
    <d v="2027-01-26T00:00:00"/>
    <x v="5"/>
    <x v="1"/>
    <x v="0"/>
  </r>
  <r>
    <x v="20"/>
    <n v="31"/>
    <n v="3320175.2658467954"/>
    <n v="5133008.5024126312"/>
    <n v="615961.02028951573"/>
    <n v="9069144.7885489427"/>
    <d v="2027-01-27T00:00:00"/>
    <x v="5"/>
    <x v="1"/>
    <x v="0"/>
  </r>
  <r>
    <x v="21"/>
    <n v="34"/>
    <n v="2500000"/>
    <n v="955479.41249999998"/>
    <n v="114657.52949999999"/>
    <n v="3570136.9420000003"/>
    <d v="2027-01-27T00:00:00"/>
    <x v="6"/>
    <x v="1"/>
    <x v="0"/>
  </r>
  <r>
    <x v="13"/>
    <n v="17"/>
    <n v="2312311.71"/>
    <n v="5463057.6900000004"/>
    <n v="655566.9299999997"/>
    <n v="8430936.3300000001"/>
    <d v="2026-02-27T00:00:00"/>
    <x v="4"/>
    <x v="0"/>
    <x v="0"/>
  </r>
  <r>
    <x v="23"/>
    <n v="17"/>
    <n v="2200580.63"/>
    <n v="5059439.59"/>
    <n v="607132.75"/>
    <n v="7867152.9699999997"/>
    <d v="2026-05-27T00:00:00"/>
    <x v="7"/>
    <x v="1"/>
    <x v="0"/>
  </r>
  <r>
    <x v="1"/>
    <n v="53"/>
    <n v="754195.95296195021"/>
    <n v="607965.83082483558"/>
    <n v="72955.899698980269"/>
    <n v="1435117.6834857659"/>
    <d v="2027-01-31T00:00:00"/>
    <x v="0"/>
    <x v="1"/>
    <x v="0"/>
  </r>
  <r>
    <x v="2"/>
    <n v="31"/>
    <n v="7916666.6699999999"/>
    <n v="4717465.75"/>
    <n v="566095.8900000006"/>
    <n v="13200228.310000001"/>
    <d v="2027-02-02T00:00:00"/>
    <x v="1"/>
    <x v="1"/>
    <x v="0"/>
  </r>
  <r>
    <x v="3"/>
    <n v="42"/>
    <n v="1092764.0209465816"/>
    <n v="1639233.8299006664"/>
    <n v="196708.05958807995"/>
    <n v="2928705.9104353278"/>
    <d v="2027-02-02T00:00:00"/>
    <x v="0"/>
    <x v="1"/>
    <x v="0"/>
  </r>
  <r>
    <x v="4"/>
    <n v="26"/>
    <n v="14166666.67"/>
    <n v="13475799.09"/>
    <n v="1617095.8899999987"/>
    <n v="29259561.649999999"/>
    <d v="2027-01-04T00:00:00"/>
    <x v="1"/>
    <x v="1"/>
    <x v="0"/>
  </r>
  <r>
    <x v="5"/>
    <n v="24"/>
    <n v="15565108.52"/>
    <n v="7056788.71"/>
    <n v="846814.64"/>
    <n v="23468711.870000001"/>
    <d v="2027-02-07T00:00:00"/>
    <x v="0"/>
    <x v="1"/>
    <x v="0"/>
  </r>
  <r>
    <x v="7"/>
    <n v="50"/>
    <n v="903801.53874579316"/>
    <n v="879928.98685837968"/>
    <n v="92392.543620129858"/>
    <n v="1876123.0692243027"/>
    <d v="2027-02-12T00:00:00"/>
    <x v="0"/>
    <x v="1"/>
    <x v="0"/>
  </r>
  <r>
    <x v="8"/>
    <n v="19"/>
    <n v="1373104.72"/>
    <n v="9183697.2100000009"/>
    <n v="1102962.04"/>
    <n v="11659763.970000003"/>
    <d v="2027-02-13T00:00:00"/>
    <x v="0"/>
    <x v="1"/>
    <x v="0"/>
  </r>
  <r>
    <x v="10"/>
    <n v="28"/>
    <n v="6235364.6929523097"/>
    <n v="7811654.9505136115"/>
    <n v="937398.59406163334"/>
    <n v="14984418.237527555"/>
    <d v="2027-02-17T00:00:00"/>
    <x v="3"/>
    <x v="1"/>
    <x v="0"/>
  </r>
  <r>
    <x v="11"/>
    <n v="19"/>
    <n v="2083333.33"/>
    <n v="2378082.19"/>
    <n v="285369.85999999987"/>
    <n v="4746785.38"/>
    <d v="2026-05-17T00:00:00"/>
    <x v="1"/>
    <x v="1"/>
    <x v="0"/>
  </r>
  <r>
    <x v="18"/>
    <n v="18"/>
    <n v="3051864.89"/>
    <n v="6969722.3399999999"/>
    <n v="836366.69"/>
    <n v="10857953.92"/>
    <d v="2026-06-17T00:00:00"/>
    <x v="4"/>
    <x v="1"/>
    <x v="0"/>
  </r>
  <r>
    <x v="12"/>
    <n v="26"/>
    <n v="1967966"/>
    <n v="3215613.6"/>
    <n v="385873.63"/>
    <n v="5569453.2300000004"/>
    <d v="2027-02-17T00:00:00"/>
    <x v="4"/>
    <x v="1"/>
    <x v="0"/>
  </r>
  <r>
    <x v="14"/>
    <n v="23"/>
    <n v="15134493.388841163"/>
    <n v="7660740.7058241963"/>
    <n v="919288.88469890354"/>
    <n v="23714522.979364265"/>
    <d v="2027-02-17T00:00:00"/>
    <x v="0"/>
    <x v="1"/>
    <x v="0"/>
  </r>
  <r>
    <x v="15"/>
    <n v="19"/>
    <n v="1441393.66"/>
    <n v="4333115.91"/>
    <n v="520407.22"/>
    <n v="6294916.79"/>
    <d v="2027-02-17T00:00:00"/>
    <x v="0"/>
    <x v="1"/>
    <x v="0"/>
  </r>
  <r>
    <x v="16"/>
    <n v="32"/>
    <n v="8958333.3300000001"/>
    <n v="5516124.4299999997"/>
    <n v="661934.93999999948"/>
    <n v="15136392.699999999"/>
    <d v="2027-02-18T00:00:00"/>
    <x v="1"/>
    <x v="1"/>
    <x v="0"/>
  </r>
  <r>
    <x v="0"/>
    <n v="31"/>
    <n v="800092.09"/>
    <n v="3789332.16"/>
    <n v="454719.86"/>
    <n v="5044144.1100000003"/>
    <d v="2027-02-19T00:00:00"/>
    <x v="0"/>
    <x v="1"/>
    <x v="0"/>
  </r>
  <r>
    <x v="17"/>
    <n v="30"/>
    <n v="3000345.39"/>
    <n v="14209995.57"/>
    <n v="1705199.46"/>
    <n v="18915540.420000002"/>
    <d v="2027-02-19T00:00:00"/>
    <x v="0"/>
    <x v="1"/>
    <x v="0"/>
  </r>
  <r>
    <x v="19"/>
    <n v="26"/>
    <n v="1319658.8899999999"/>
    <n v="3586658.4"/>
    <n v="430399"/>
    <n v="5336716.29"/>
    <d v="2027-02-26T00:00:00"/>
    <x v="5"/>
    <x v="1"/>
    <x v="0"/>
  </r>
  <r>
    <x v="20"/>
    <n v="32"/>
    <n v="3394879.2093283487"/>
    <n v="5058304.5589310778"/>
    <n v="606996.54707172932"/>
    <n v="9060180.3153311554"/>
    <d v="2027-02-27T00:00:00"/>
    <x v="5"/>
    <x v="1"/>
    <x v="0"/>
  </r>
  <r>
    <x v="21"/>
    <n v="35"/>
    <n v="2500000"/>
    <n v="891780.78500000003"/>
    <n v="107013.6942"/>
    <n v="3498794.4791999999"/>
    <d v="2027-02-27T00:00:00"/>
    <x v="6"/>
    <x v="1"/>
    <x v="0"/>
  </r>
  <r>
    <x v="13"/>
    <n v="18"/>
    <n v="2376929.2599999998"/>
    <n v="5398440.1399999997"/>
    <n v="647812.81000000145"/>
    <n v="8423182.2100000009"/>
    <d v="2026-03-27T00:00:00"/>
    <x v="4"/>
    <x v="0"/>
    <x v="0"/>
  </r>
  <r>
    <x v="23"/>
    <n v="18"/>
    <n v="2261096.6"/>
    <n v="4998923.62"/>
    <n v="599870.82999999996"/>
    <n v="7859891.0499999998"/>
    <d v="2026-06-27T00:00:00"/>
    <x v="7"/>
    <x v="1"/>
    <x v="0"/>
  </r>
  <r>
    <x v="1"/>
    <n v="54"/>
    <n v="776821.83155080886"/>
    <n v="585339.95223597693"/>
    <n v="70240.79426831723"/>
    <n v="1432402.5780551031"/>
    <d v="2027-02-28T00:00:00"/>
    <x v="0"/>
    <x v="1"/>
    <x v="0"/>
  </r>
  <r>
    <x v="2"/>
    <n v="32"/>
    <n v="7916666.6699999999"/>
    <n v="4402968.04"/>
    <n v="528356.15999999829"/>
    <n v="12847990.869999999"/>
    <d v="2027-03-02T00:00:00"/>
    <x v="1"/>
    <x v="1"/>
    <x v="0"/>
  </r>
  <r>
    <x v="3"/>
    <n v="43"/>
    <n v="1125546.9415749791"/>
    <n v="1606450.9092722689"/>
    <n v="192774.10911267227"/>
    <n v="2924771.9599599205"/>
    <d v="2027-03-02T00:00:00"/>
    <x v="0"/>
    <x v="1"/>
    <x v="0"/>
  </r>
  <r>
    <x v="4"/>
    <n v="27"/>
    <n v="14166666.67"/>
    <n v="13090776.25"/>
    <n v="1570893.1500000004"/>
    <n v="28828336.07"/>
    <d v="2027-02-04T00:00:00"/>
    <x v="1"/>
    <x v="1"/>
    <x v="0"/>
  </r>
  <r>
    <x v="5"/>
    <n v="25"/>
    <n v="16019268.529999999"/>
    <n v="6602628.7000000002"/>
    <n v="792315.44"/>
    <n v="23414212.670000002"/>
    <d v="2027-03-07T00:00:00"/>
    <x v="0"/>
    <x v="1"/>
    <x v="0"/>
  </r>
  <r>
    <x v="7"/>
    <n v="51"/>
    <n v="930915.5849081669"/>
    <n v="852814.94069600594"/>
    <n v="89545.568773080624"/>
    <n v="1873276.0943772534"/>
    <d v="2027-03-12T00:00:00"/>
    <x v="0"/>
    <x v="1"/>
    <x v="0"/>
  </r>
  <r>
    <x v="8"/>
    <n v="20"/>
    <n v="1416202.33"/>
    <n v="9140599.5999999996"/>
    <n v="1097786.01"/>
    <n v="11654587.939999999"/>
    <d v="2027-03-13T00:00:00"/>
    <x v="0"/>
    <x v="1"/>
    <x v="0"/>
  </r>
  <r>
    <x v="10"/>
    <n v="29"/>
    <n v="6390729.1965517057"/>
    <n v="7656290.4469142156"/>
    <n v="918754.85362970585"/>
    <n v="14965774.497095628"/>
    <d v="2027-03-17T00:00:00"/>
    <x v="3"/>
    <x v="1"/>
    <x v="0"/>
  </r>
  <r>
    <x v="11"/>
    <n v="20"/>
    <n v="2083333.33"/>
    <n v="2246575.34"/>
    <n v="269589.04000000004"/>
    <n v="4599497.71"/>
    <d v="2026-06-17T00:00:00"/>
    <x v="1"/>
    <x v="1"/>
    <x v="0"/>
  </r>
  <r>
    <x v="18"/>
    <n v="19"/>
    <n v="3137149.25"/>
    <n v="6884437.9800000004"/>
    <n v="826132.56"/>
    <n v="10847719.789999999"/>
    <d v="2026-07-17T00:00:00"/>
    <x v="4"/>
    <x v="1"/>
    <x v="0"/>
  </r>
  <r>
    <x v="12"/>
    <n v="27"/>
    <n v="2022960.81"/>
    <n v="3160618.79"/>
    <n v="379274.25"/>
    <n v="5562853.8499999996"/>
    <d v="2027-03-17T00:00:00"/>
    <x v="4"/>
    <x v="1"/>
    <x v="0"/>
  </r>
  <r>
    <x v="14"/>
    <n v="24"/>
    <n v="15583798.661322385"/>
    <n v="7211435.4333429746"/>
    <n v="865372.25200115691"/>
    <n v="23660606.346666515"/>
    <d v="2027-03-17T00:00:00"/>
    <x v="0"/>
    <x v="1"/>
    <x v="0"/>
  </r>
  <r>
    <x v="11"/>
    <n v="21"/>
    <n v="2083333.33"/>
    <n v="2191780.8199999998"/>
    <n v="263013.69999999972"/>
    <n v="4538127.8499999996"/>
    <d v="2026-07-17T00:00:00"/>
    <x v="1"/>
    <x v="1"/>
    <x v="0"/>
  </r>
  <r>
    <x v="11"/>
    <n v="22"/>
    <n v="2083333.33"/>
    <n v="2208219.1800000002"/>
    <n v="264986.29999999935"/>
    <n v="4556538.8099999996"/>
    <d v="2026-08-17T00:00:00"/>
    <x v="1"/>
    <x v="1"/>
    <x v="0"/>
  </r>
  <r>
    <x v="11"/>
    <n v="23"/>
    <n v="2083333.33"/>
    <n v="2151598.17"/>
    <n v="258191.78000000026"/>
    <n v="4493123.28"/>
    <d v="2026-09-17T00:00:00"/>
    <x v="1"/>
    <x v="1"/>
    <x v="0"/>
  </r>
  <r>
    <x v="11"/>
    <n v="24"/>
    <n v="2083333.33"/>
    <n v="2162557.08"/>
    <n v="259506.84999999963"/>
    <n v="4505397.26"/>
    <d v="2026-10-17T00:00:00"/>
    <x v="1"/>
    <x v="1"/>
    <x v="0"/>
  </r>
  <r>
    <x v="11"/>
    <n v="25"/>
    <n v="2083333.33"/>
    <n v="1906849.32"/>
    <n v="228821.91999999993"/>
    <n v="4219004.57"/>
    <d v="2026-11-17T00:00:00"/>
    <x v="1"/>
    <x v="1"/>
    <x v="0"/>
  </r>
  <r>
    <x v="11"/>
    <n v="26"/>
    <n v="2083333.33"/>
    <n v="1917808.22"/>
    <n v="230136.98000000045"/>
    <n v="4231278.53"/>
    <d v="2026-12-17T00:00:00"/>
    <x v="1"/>
    <x v="1"/>
    <x v="0"/>
  </r>
  <r>
    <x v="11"/>
    <n v="27"/>
    <n v="2083333.33"/>
    <n v="1987214.61"/>
    <n v="238465.75"/>
    <n v="4309013.6900000004"/>
    <d v="2027-01-17T00:00:00"/>
    <x v="1"/>
    <x v="1"/>
    <x v="0"/>
  </r>
  <r>
    <x v="4"/>
    <n v="28"/>
    <n v="14166666.67"/>
    <n v="11476164.380000001"/>
    <n v="1377139.7300000004"/>
    <n v="27019970.780000001"/>
    <d v="2027-03-04T00:00:00"/>
    <x v="1"/>
    <x v="1"/>
    <x v="0"/>
  </r>
  <r>
    <x v="11"/>
    <n v="28"/>
    <n v="2083333.33"/>
    <n v="1808219.18"/>
    <n v="216986.29999999981"/>
    <n v="4108538.81"/>
    <d v="2027-02-17T00:00:00"/>
    <x v="1"/>
    <x v="1"/>
    <x v="0"/>
  </r>
  <r>
    <x v="11"/>
    <n v="29"/>
    <n v="2083333.33"/>
    <n v="1636529.68"/>
    <n v="196383.5700000003"/>
    <n v="3916246.58"/>
    <d v="2027-03-17T00:00:00"/>
    <x v="1"/>
    <x v="1"/>
    <x v="0"/>
  </r>
  <r>
    <x v="15"/>
    <n v="20"/>
    <n v="1489818.56"/>
    <n v="4284691.01"/>
    <n v="514591.4"/>
    <n v="6289100.9699999997"/>
    <d v="2027-03-17T00:00:00"/>
    <x v="0"/>
    <x v="1"/>
    <x v="0"/>
  </r>
  <r>
    <x v="16"/>
    <n v="33"/>
    <n v="8958333.3300000001"/>
    <n v="4810502.28"/>
    <n v="577260.27000000142"/>
    <n v="14346095.880000001"/>
    <d v="2027-03-18T00:00:00"/>
    <x v="1"/>
    <x v="1"/>
    <x v="0"/>
  </r>
  <r>
    <x v="0"/>
    <n v="32"/>
    <n v="826396.49"/>
    <n v="3763027.76"/>
    <n v="451563.33"/>
    <n v="5040987.58"/>
    <d v="2027-03-19T00:00:00"/>
    <x v="0"/>
    <x v="1"/>
    <x v="0"/>
  </r>
  <r>
    <x v="17"/>
    <n v="31"/>
    <n v="3098986.88"/>
    <n v="14111354.08"/>
    <n v="1693362.49"/>
    <n v="18903703.449999999"/>
    <d v="2027-03-19T00:00:00"/>
    <x v="0"/>
    <x v="1"/>
    <x v="0"/>
  </r>
  <r>
    <x v="19"/>
    <n v="27"/>
    <n v="1357049.22"/>
    <n v="3549268.07"/>
    <n v="425912.16"/>
    <n v="5332229.45"/>
    <d v="2027-03-26T00:00:00"/>
    <x v="5"/>
    <x v="1"/>
    <x v="0"/>
  </r>
  <r>
    <x v="20"/>
    <n v="33"/>
    <n v="3471263.9915382368"/>
    <n v="4981919.7767211897"/>
    <n v="597830.3732065428"/>
    <n v="9051014.1414659694"/>
    <d v="2027-03-27T00:00:00"/>
    <x v="5"/>
    <x v="1"/>
    <x v="0"/>
  </r>
  <r>
    <x v="21"/>
    <n v="36"/>
    <n v="2500000"/>
    <n v="828082.15749999997"/>
    <n v="99369.858899999992"/>
    <n v="3427452.0163999996"/>
    <d v="2027-03-27T00:00:00"/>
    <x v="6"/>
    <x v="1"/>
    <x v="0"/>
  </r>
  <r>
    <x v="13"/>
    <n v="19"/>
    <n v="2443352.5499999998"/>
    <n v="5332016.8499999996"/>
    <n v="639842.02000000048"/>
    <n v="8415211.4199999999"/>
    <d v="2026-04-27T00:00:00"/>
    <x v="4"/>
    <x v="1"/>
    <x v="0"/>
  </r>
  <r>
    <x v="23"/>
    <n v="19"/>
    <n v="2323276.75"/>
    <n v="4936743.47"/>
    <n v="592409.21"/>
    <n v="7852429.4299999997"/>
    <d v="2026-07-27T00:00:00"/>
    <x v="7"/>
    <x v="1"/>
    <x v="0"/>
  </r>
  <r>
    <x v="1"/>
    <n v="55"/>
    <n v="800126.48649733316"/>
    <n v="562035.29728945263"/>
    <n v="67444.235674734315"/>
    <n v="1429606.01946152"/>
    <d v="2027-03-31T00:00:00"/>
    <x v="0"/>
    <x v="1"/>
    <x v="0"/>
  </r>
  <r>
    <x v="2"/>
    <n v="33"/>
    <n v="7916666.6699999999"/>
    <n v="4706621"/>
    <n v="564794.52999999933"/>
    <n v="13188082.199999999"/>
    <d v="2027-04-02T00:00:00"/>
    <x v="1"/>
    <x v="1"/>
    <x v="0"/>
  </r>
  <r>
    <x v="3"/>
    <n v="44"/>
    <n v="1159313.3498222285"/>
    <n v="1572684.5010250194"/>
    <n v="188722.14012300235"/>
    <n v="2920719.9909702502"/>
    <d v="2027-04-02T00:00:00"/>
    <x v="0"/>
    <x v="1"/>
    <x v="0"/>
  </r>
  <r>
    <x v="4"/>
    <n v="29"/>
    <n v="14166666.67"/>
    <n v="12718173.51"/>
    <n v="1526180.8200000003"/>
    <n v="28411021"/>
    <d v="2027-04-04T00:00:00"/>
    <x v="1"/>
    <x v="1"/>
    <x v="0"/>
  </r>
  <r>
    <x v="5"/>
    <n v="26"/>
    <n v="16486680.060000001"/>
    <n v="6135217.1699999999"/>
    <n v="736226.06"/>
    <n v="23358123.289999999"/>
    <d v="2027-04-07T00:00:00"/>
    <x v="0"/>
    <x v="1"/>
    <x v="0"/>
  </r>
  <r>
    <x v="7"/>
    <n v="52"/>
    <n v="958843.05245541187"/>
    <n v="824887.47314876097"/>
    <n v="86613.184680619903"/>
    <n v="1870343.7102847928"/>
    <d v="2027-04-12T00:00:00"/>
    <x v="0"/>
    <x v="1"/>
    <x v="0"/>
  </r>
  <r>
    <x v="8"/>
    <n v="21"/>
    <n v="1460652.66"/>
    <n v="9096149.2699999996"/>
    <n v="1092447.52"/>
    <n v="11649249.449999999"/>
    <d v="2027-04-13T00:00:00"/>
    <x v="0"/>
    <x v="1"/>
    <x v="0"/>
  </r>
  <r>
    <x v="10"/>
    <n v="30"/>
    <n v="6549964.865699118"/>
    <n v="7497054.7777668033"/>
    <n v="899646.57333201636"/>
    <n v="14946666.216797937"/>
    <d v="2027-04-17T00:00:00"/>
    <x v="3"/>
    <x v="1"/>
    <x v="0"/>
  </r>
  <r>
    <x v="11"/>
    <n v="30"/>
    <n v="2083333.33"/>
    <n v="1868493.15"/>
    <n v="224219.18000000017"/>
    <n v="4176045.66"/>
    <d v="2027-04-17T00:00:00"/>
    <x v="1"/>
    <x v="1"/>
    <x v="0"/>
  </r>
  <r>
    <x v="18"/>
    <n v="20"/>
    <n v="3224816.89"/>
    <n v="6796770.3399999999"/>
    <n v="815612.45"/>
    <n v="10837199.68"/>
    <d v="2026-08-17T00:00:00"/>
    <x v="4"/>
    <x v="1"/>
    <x v="0"/>
  </r>
  <r>
    <x v="12"/>
    <n v="28"/>
    <n v="2079492.45"/>
    <n v="3104087.15"/>
    <n v="372490.46"/>
    <n v="5556070.0599999996"/>
    <d v="2027-04-17T00:00:00"/>
    <x v="4"/>
    <x v="1"/>
    <x v="0"/>
  </r>
  <r>
    <x v="14"/>
    <n v="25"/>
    <n v="16046442.684080392"/>
    <n v="6748791.4105849667"/>
    <n v="809854.96927019604"/>
    <n v="23605089.063935556"/>
    <d v="2027-04-17T00:00:00"/>
    <x v="0"/>
    <x v="1"/>
    <x v="0"/>
  </r>
  <r>
    <x v="15"/>
    <n v="21"/>
    <n v="1539870.34"/>
    <n v="4234639.2300000004"/>
    <n v="508580.17"/>
    <n v="6283089.7400000002"/>
    <d v="2027-04-17T00:00:00"/>
    <x v="0"/>
    <x v="1"/>
    <x v="0"/>
  </r>
  <r>
    <x v="16"/>
    <n v="34"/>
    <n v="8958333.3300000001"/>
    <n v="5301369.8600000003"/>
    <n v="636164.38999999873"/>
    <n v="14895867.58"/>
    <d v="2027-04-18T00:00:00"/>
    <x v="1"/>
    <x v="1"/>
    <x v="0"/>
  </r>
  <r>
    <x v="0"/>
    <n v="33"/>
    <n v="853565.69"/>
    <n v="3735858.56"/>
    <n v="448303.03"/>
    <n v="5037727.28"/>
    <d v="2027-04-19T00:00:00"/>
    <x v="0"/>
    <x v="1"/>
    <x v="0"/>
  </r>
  <r>
    <x v="17"/>
    <n v="32"/>
    <n v="3200871.38"/>
    <n v="14009469.58"/>
    <n v="1681136.35"/>
    <n v="18891477.309999999"/>
    <d v="2027-04-19T00:00:00"/>
    <x v="0"/>
    <x v="1"/>
    <x v="0"/>
  </r>
  <r>
    <x v="19"/>
    <n v="28"/>
    <n v="1395498.95"/>
    <n v="3510818.34"/>
    <n v="421298.19"/>
    <n v="5327615.4800000004"/>
    <d v="2027-04-26T00:00:00"/>
    <x v="5"/>
    <x v="1"/>
    <x v="0"/>
  </r>
  <r>
    <x v="20"/>
    <n v="34"/>
    <n v="3549367.431347847"/>
    <n v="4903816.3369115796"/>
    <n v="588457.9604293895"/>
    <n v="9041641.7286888156"/>
    <d v="2027-04-27T00:00:00"/>
    <x v="5"/>
    <x v="1"/>
    <x v="0"/>
  </r>
  <r>
    <x v="21"/>
    <n v="37"/>
    <n v="2500000"/>
    <n v="764383.53"/>
    <n v="91726.0236"/>
    <n v="3356109.5536000002"/>
    <d v="2027-04-27T00:00:00"/>
    <x v="6"/>
    <x v="1"/>
    <x v="0"/>
  </r>
  <r>
    <x v="13"/>
    <n v="20"/>
    <n v="2511632.04"/>
    <n v="5263737.3600000003"/>
    <n v="631648.48000000045"/>
    <n v="8407017.8800000008"/>
    <d v="2026-05-27T00:00:00"/>
    <x v="4"/>
    <x v="1"/>
    <x v="0"/>
  </r>
  <r>
    <x v="23"/>
    <n v="20"/>
    <n v="2387166.86"/>
    <n v="4872853.3600000003"/>
    <n v="584742.40000000002"/>
    <n v="7844762.6200000001"/>
    <d v="2026-08-27T00:00:00"/>
    <x v="7"/>
    <x v="1"/>
    <x v="0"/>
  </r>
  <r>
    <x v="1"/>
    <n v="56"/>
    <n v="824130.28109225305"/>
    <n v="538031.50269453274"/>
    <n v="64563.780323343926"/>
    <n v="1426725.5641101296"/>
    <d v="2027-04-30T00:00:00"/>
    <x v="0"/>
    <x v="1"/>
    <x v="0"/>
  </r>
  <r>
    <x v="2"/>
    <n v="34"/>
    <n v="7916666.6699999999"/>
    <n v="4538527.4000000004"/>
    <n v="544623.28999999911"/>
    <n v="12999817.359999999"/>
    <d v="2027-05-02T00:00:00"/>
    <x v="1"/>
    <x v="1"/>
    <x v="0"/>
  </r>
  <r>
    <x v="3"/>
    <n v="45"/>
    <n v="1194092.7503168953"/>
    <n v="1537905.1005303527"/>
    <n v="184548.61206364233"/>
    <n v="2916546.4629108901"/>
    <d v="2027-05-02T00:00:00"/>
    <x v="0"/>
    <x v="1"/>
    <x v="0"/>
  </r>
  <r>
    <x v="4"/>
    <n v="30"/>
    <n v="14166666.67"/>
    <n v="11165662.1"/>
    <n v="1339879.4499999993"/>
    <n v="26672208.219999999"/>
    <d v="2027-05-04T00:00:00"/>
    <x v="1"/>
    <x v="1"/>
    <x v="0"/>
  </r>
  <r>
    <x v="5"/>
    <n v="27"/>
    <n v="16967729.760000002"/>
    <n v="5654167.4699999997"/>
    <n v="678500.09"/>
    <n v="23300397.32"/>
    <d v="2027-05-07T00:00:00"/>
    <x v="0"/>
    <x v="1"/>
    <x v="0"/>
  </r>
  <r>
    <x v="7"/>
    <n v="53"/>
    <n v="987608.34402907419"/>
    <n v="796122.18157509866"/>
    <n v="83592.829065385362"/>
    <n v="1867323.3546695581"/>
    <d v="2027-05-12T00:00:00"/>
    <x v="0"/>
    <x v="1"/>
    <x v="0"/>
  </r>
  <r>
    <x v="8"/>
    <n v="22"/>
    <n v="1506498.14"/>
    <n v="9050303.7899999991"/>
    <n v="1086941.49"/>
    <n v="11643743.42"/>
    <d v="2027-05-13T00:00:00"/>
    <x v="0"/>
    <x v="1"/>
    <x v="0"/>
  </r>
  <r>
    <x v="10"/>
    <n v="31"/>
    <n v="6713168.1569361212"/>
    <n v="7333851.4865298001"/>
    <n v="880062.17838357599"/>
    <n v="14927081.821849497"/>
    <d v="2027-05-17T00:00:00"/>
    <x v="3"/>
    <x v="1"/>
    <x v="0"/>
  </r>
  <r>
    <x v="11"/>
    <n v="31"/>
    <n v="2083333.33"/>
    <n v="1534246.58"/>
    <n v="184109.58999999985"/>
    <n v="3801689.5"/>
    <d v="2027-05-17T00:00:00"/>
    <x v="1"/>
    <x v="1"/>
    <x v="0"/>
  </r>
  <r>
    <x v="18"/>
    <n v="21"/>
    <n v="3314934.4"/>
    <n v="6706652.8300000001"/>
    <n v="804798.34"/>
    <n v="10826385.57"/>
    <d v="2026-09-17T00:00:00"/>
    <x v="4"/>
    <x v="1"/>
    <x v="0"/>
  </r>
  <r>
    <x v="12"/>
    <n v="29"/>
    <n v="2137603.86"/>
    <n v="3045975.74"/>
    <n v="365517.09"/>
    <n v="5549096.6900000004"/>
    <d v="2027-05-17T00:00:00"/>
    <x v="4"/>
    <x v="1"/>
    <x v="0"/>
  </r>
  <r>
    <x v="14"/>
    <n v="26"/>
    <n v="16522821.451264029"/>
    <n v="6272412.6434013303"/>
    <n v="752689.51720815967"/>
    <n v="23547923.611873519"/>
    <d v="2027-05-17T00:00:00"/>
    <x v="0"/>
    <x v="1"/>
    <x v="0"/>
  </r>
  <r>
    <x v="15"/>
    <n v="22"/>
    <n v="1591603.66"/>
    <n v="4182905.91"/>
    <n v="502367"/>
    <n v="6276876.5700000003"/>
    <d v="2027-05-17T00:00:00"/>
    <x v="0"/>
    <x v="1"/>
    <x v="0"/>
  </r>
  <r>
    <x v="16"/>
    <n v="35"/>
    <n v="8958333.3300000001"/>
    <n v="4626426.9400000004"/>
    <n v="555171.22999999858"/>
    <n v="14139931.5"/>
    <d v="2027-05-18T00:00:00"/>
    <x v="1"/>
    <x v="1"/>
    <x v="0"/>
  </r>
  <r>
    <x v="0"/>
    <n v="34"/>
    <n v="881628.12"/>
    <n v="3707796.13"/>
    <n v="444935.53"/>
    <n v="5034359.78"/>
    <d v="2027-05-19T00:00:00"/>
    <x v="0"/>
    <x v="1"/>
    <x v="0"/>
  </r>
  <r>
    <x v="17"/>
    <n v="33"/>
    <n v="3306105.51"/>
    <n v="13904235.449999999"/>
    <n v="1668508.25"/>
    <n v="18878849.210000001"/>
    <d v="2027-05-19T00:00:00"/>
    <x v="0"/>
    <x v="1"/>
    <x v="0"/>
  </r>
  <r>
    <x v="19"/>
    <n v="29"/>
    <n v="1435038.09"/>
    <n v="3471279.2"/>
    <n v="416553.49"/>
    <n v="5322870.78"/>
    <d v="2027-05-26T00:00:00"/>
    <x v="5"/>
    <x v="1"/>
    <x v="0"/>
  </r>
  <r>
    <x v="20"/>
    <n v="35"/>
    <n v="3629228.1985531729"/>
    <n v="4823955.5697062537"/>
    <n v="578874.66836475045"/>
    <n v="9032058.4366241768"/>
    <d v="2027-05-27T00:00:00"/>
    <x v="5"/>
    <x v="1"/>
    <x v="0"/>
  </r>
  <r>
    <x v="21"/>
    <n v="38"/>
    <n v="2500000"/>
    <n v="700684.90249999997"/>
    <n v="84082.188299999994"/>
    <n v="3284767.0907999999"/>
    <d v="2027-05-27T00:00:00"/>
    <x v="6"/>
    <x v="1"/>
    <x v="0"/>
  </r>
  <r>
    <x v="13"/>
    <n v="21"/>
    <n v="2581819.6"/>
    <n v="5193549.8"/>
    <n v="623225.98000000091"/>
    <n v="8398595.3800000008"/>
    <d v="2026-06-27T00:00:00"/>
    <x v="4"/>
    <x v="1"/>
    <x v="0"/>
  </r>
  <r>
    <x v="13"/>
    <n v="22"/>
    <n v="2653968.5499999998"/>
    <n v="5121400.8499999996"/>
    <n v="614568.10000000056"/>
    <n v="8389937.5"/>
    <d v="2026-07-27T00:00:00"/>
    <x v="4"/>
    <x v="1"/>
    <x v="0"/>
  </r>
  <r>
    <x v="13"/>
    <n v="23"/>
    <n v="2728133.7"/>
    <n v="5047235.7"/>
    <n v="605668.29"/>
    <n v="8381037.6900000004"/>
    <d v="2026-08-27T00:00:00"/>
    <x v="4"/>
    <x v="1"/>
    <x v="0"/>
  </r>
  <r>
    <x v="13"/>
    <n v="24"/>
    <n v="2804371.39"/>
    <n v="4970998.01"/>
    <n v="596519.76000000024"/>
    <n v="8371889.1600000001"/>
    <d v="2026-09-27T00:00:00"/>
    <x v="4"/>
    <x v="1"/>
    <x v="0"/>
  </r>
  <r>
    <x v="13"/>
    <n v="25"/>
    <n v="2882739.55"/>
    <n v="4892629.8499999996"/>
    <n v="587115.58000000101"/>
    <n v="8362484.9800000004"/>
    <d v="2026-10-27T00:00:00"/>
    <x v="4"/>
    <x v="1"/>
    <x v="0"/>
  </r>
  <r>
    <x v="13"/>
    <n v="26"/>
    <n v="2963297.71"/>
    <n v="4812071.6900000004"/>
    <n v="577448.6099999994"/>
    <n v="8352818.0099999998"/>
    <d v="2026-11-27T00:00:00"/>
    <x v="4"/>
    <x v="1"/>
    <x v="0"/>
  </r>
  <r>
    <x v="13"/>
    <n v="27"/>
    <n v="3046107.06"/>
    <n v="4729262.34"/>
    <n v="567511.48999999976"/>
    <n v="8342880.8899999997"/>
    <d v="2026-12-27T00:00:00"/>
    <x v="4"/>
    <x v="1"/>
    <x v="0"/>
  </r>
  <r>
    <x v="13"/>
    <n v="28"/>
    <n v="3131230.53"/>
    <n v="4644138.87"/>
    <n v="557296.65999999968"/>
    <n v="8332666.0599999996"/>
    <d v="2027-01-27T00:00:00"/>
    <x v="4"/>
    <x v="1"/>
    <x v="0"/>
  </r>
  <r>
    <x v="13"/>
    <n v="29"/>
    <n v="3218732.76"/>
    <n v="4556636.6399999997"/>
    <n v="546796.40000000037"/>
    <n v="8322165.7999999998"/>
    <d v="2027-02-27T00:00:00"/>
    <x v="4"/>
    <x v="1"/>
    <x v="0"/>
  </r>
  <r>
    <x v="12"/>
    <n v="6"/>
    <n v="1134018.19"/>
    <n v="4049561.41"/>
    <n v="485947.37"/>
    <n v="5669526.9699999997"/>
    <d v="2025-06-17T00:00:00"/>
    <x v="4"/>
    <x v="0"/>
    <x v="0"/>
  </r>
  <r>
    <x v="13"/>
    <n v="30"/>
    <n v="3308680.25"/>
    <n v="4466689.1500000004"/>
    <n v="536002.69999999925"/>
    <n v="8311372.0999999996"/>
    <d v="2027-03-27T00:00:00"/>
    <x v="4"/>
    <x v="1"/>
    <x v="0"/>
  </r>
  <r>
    <x v="13"/>
    <n v="31"/>
    <n v="3401141.32"/>
    <n v="4374228.08"/>
    <n v="524907.36999999965"/>
    <n v="8300276.7699999996"/>
    <d v="2027-04-27T00:00:00"/>
    <x v="4"/>
    <x v="1"/>
    <x v="0"/>
  </r>
  <r>
    <x v="23"/>
    <n v="21"/>
    <n v="2452813.9500000002"/>
    <n v="4807206.2699999996"/>
    <n v="576864.75"/>
    <n v="7836884.9699999997"/>
    <d v="2026-09-27T00:00:00"/>
    <x v="7"/>
    <x v="1"/>
    <x v="0"/>
  </r>
  <r>
    <x v="1"/>
    <n v="57"/>
    <n v="848854.18952502066"/>
    <n v="513307.59426176513"/>
    <n v="61596.911311411815"/>
    <n v="1423758.6950981976"/>
    <d v="2027-05-31T00:00:00"/>
    <x v="0"/>
    <x v="1"/>
    <x v="0"/>
  </r>
  <r>
    <x v="2"/>
    <n v="35"/>
    <n v="7916666.6699999999"/>
    <n v="4229452.05"/>
    <n v="507534.25000000186"/>
    <n v="12653652.970000001"/>
    <d v="2027-06-02T00:00:00"/>
    <x v="1"/>
    <x v="1"/>
    <x v="0"/>
  </r>
  <r>
    <x v="3"/>
    <n v="46"/>
    <n v="1229915.5328264022"/>
    <n v="1502082.3180208458"/>
    <n v="180249.8781625015"/>
    <n v="2912247.7290097494"/>
    <d v="2027-06-02T00:00:00"/>
    <x v="0"/>
    <x v="1"/>
    <x v="0"/>
  </r>
  <r>
    <x v="4"/>
    <n v="31"/>
    <n v="14166666.67"/>
    <n v="11550684.93"/>
    <n v="1386082.1899999995"/>
    <n v="27103433.789999999"/>
    <d v="2027-06-04T00:00:00"/>
    <x v="1"/>
    <x v="1"/>
    <x v="0"/>
  </r>
  <r>
    <x v="5"/>
    <n v="28"/>
    <n v="17462815.57"/>
    <n v="5159081.66"/>
    <n v="619089.79"/>
    <n v="23240987.02"/>
    <d v="2027-06-07T00:00:00"/>
    <x v="0"/>
    <x v="1"/>
    <x v="0"/>
  </r>
  <r>
    <x v="7"/>
    <n v="54"/>
    <n v="1017236.5943499464"/>
    <n v="766493.93125422648"/>
    <n v="80481.862781693781"/>
    <n v="1864212.3883858665"/>
    <d v="2027-06-12T00:00:00"/>
    <x v="0"/>
    <x v="1"/>
    <x v="0"/>
  </r>
  <r>
    <x v="8"/>
    <n v="23"/>
    <n v="1553782.58"/>
    <n v="9003019.3499999996"/>
    <n v="1081262.6200000001"/>
    <n v="11638064.550000001"/>
    <d v="2027-06-13T00:00:00"/>
    <x v="0"/>
    <x v="1"/>
    <x v="0"/>
  </r>
  <r>
    <x v="10"/>
    <n v="32"/>
    <n v="6880437.9301797794"/>
    <n v="7166581.7132861419"/>
    <n v="859989.80559433706"/>
    <n v="14907009.449060258"/>
    <d v="2027-06-17T00:00:00"/>
    <x v="3"/>
    <x v="1"/>
    <x v="0"/>
  </r>
  <r>
    <x v="11"/>
    <n v="32"/>
    <n v="2083333.33"/>
    <n v="1642009.13"/>
    <n v="197041.10000000009"/>
    <n v="3922383.56"/>
    <d v="2027-06-17T00:00:00"/>
    <x v="1"/>
    <x v="1"/>
    <x v="0"/>
  </r>
  <r>
    <x v="18"/>
    <n v="22"/>
    <n v="3407570.24"/>
    <n v="6614016.9900000002"/>
    <n v="793682.03"/>
    <n v="10815269.26"/>
    <d v="2026-10-17T00:00:00"/>
    <x v="4"/>
    <x v="1"/>
    <x v="0"/>
  </r>
  <r>
    <x v="12"/>
    <n v="30"/>
    <n v="2197339.2000000002"/>
    <n v="2986240.4"/>
    <n v="358348.85"/>
    <n v="5541928.4500000002"/>
    <d v="2027-06-17T00:00:00"/>
    <x v="4"/>
    <x v="1"/>
    <x v="0"/>
  </r>
  <r>
    <x v="14"/>
    <n v="27"/>
    <n v="17013342.713098429"/>
    <n v="5781891.3815669287"/>
    <n v="693826.96578803146"/>
    <n v="23489061.060453389"/>
    <d v="2027-06-17T00:00:00"/>
    <x v="0"/>
    <x v="1"/>
    <x v="0"/>
  </r>
  <r>
    <x v="15"/>
    <n v="23"/>
    <n v="1645075"/>
    <n v="4129434.57"/>
    <n v="495945.09"/>
    <n v="6270454.6600000001"/>
    <d v="2027-06-17T00:00:00"/>
    <x v="0"/>
    <x v="1"/>
    <x v="0"/>
  </r>
  <r>
    <x v="16"/>
    <n v="36"/>
    <n v="8958333.3300000001"/>
    <n v="4755279.68"/>
    <n v="570633.5700000003"/>
    <n v="14284246.58"/>
    <d v="2027-06-18T00:00:00"/>
    <x v="1"/>
    <x v="1"/>
    <x v="0"/>
  </r>
  <r>
    <x v="0"/>
    <n v="35"/>
    <n v="910613.16"/>
    <n v="3678811.09"/>
    <n v="441457.33"/>
    <n v="5030881.58"/>
    <d v="2027-06-19T00:00:00"/>
    <x v="0"/>
    <x v="1"/>
    <x v="0"/>
  </r>
  <r>
    <x v="17"/>
    <n v="34"/>
    <n v="3414799.39"/>
    <n v="13795541.57"/>
    <n v="1655464.98"/>
    <n v="18865805.940000001"/>
    <d v="2027-06-19T00:00:00"/>
    <x v="0"/>
    <x v="1"/>
    <x v="0"/>
  </r>
  <r>
    <x v="19"/>
    <n v="30"/>
    <n v="1475697.5"/>
    <n v="3430619.79"/>
    <n v="411674.36"/>
    <n v="5317991.6500000004"/>
    <d v="2027-06-26T00:00:00"/>
    <x v="5"/>
    <x v="1"/>
    <x v="0"/>
  </r>
  <r>
    <x v="20"/>
    <n v="36"/>
    <n v="3710885.83302062"/>
    <n v="4742297.9352388065"/>
    <n v="569075.75222865678"/>
    <n v="9022259.5204880834"/>
    <d v="2027-06-27T00:00:00"/>
    <x v="5"/>
    <x v="1"/>
    <x v="0"/>
  </r>
  <r>
    <x v="21"/>
    <n v="39"/>
    <n v="2500000"/>
    <n v="636986.27500000002"/>
    <n v="76438.353000000003"/>
    <n v="3213424.628"/>
    <d v="2027-06-27T00:00:00"/>
    <x v="6"/>
    <x v="1"/>
    <x v="0"/>
  </r>
  <r>
    <x v="13"/>
    <n v="32"/>
    <n v="3496186.21"/>
    <n v="4279183.1900000004"/>
    <n v="513501.97999999952"/>
    <n v="8288871.3799999999"/>
    <d v="2027-05-27T00:00:00"/>
    <x v="4"/>
    <x v="1"/>
    <x v="0"/>
  </r>
  <r>
    <x v="23"/>
    <n v="22"/>
    <n v="2520266.34"/>
    <n v="4739753.88"/>
    <n v="568770.47"/>
    <n v="7828790.6900000004"/>
    <d v="2026-10-27T00:00:00"/>
    <x v="7"/>
    <x v="1"/>
    <x v="0"/>
  </r>
  <r>
    <x v="1"/>
    <n v="58"/>
    <n v="874319.81521077128"/>
    <n v="487841.96857601451"/>
    <n v="58541.036229121739"/>
    <n v="1420702.8200159075"/>
    <d v="2027-06-30T00:00:00"/>
    <x v="0"/>
    <x v="1"/>
    <x v="0"/>
  </r>
  <r>
    <x v="2"/>
    <n v="36"/>
    <n v="7916666.6699999999"/>
    <n v="4066780.82"/>
    <n v="488013.69999999925"/>
    <n v="12471461.189999999"/>
    <d v="2027-07-02T00:00:00"/>
    <x v="1"/>
    <x v="1"/>
    <x v="0"/>
  </r>
  <r>
    <x v="3"/>
    <n v="47"/>
    <n v="1266812.9988111942"/>
    <n v="1465184.8520360538"/>
    <n v="175822.18224432645"/>
    <n v="2907820.0330915744"/>
    <d v="2027-07-02T00:00:00"/>
    <x v="0"/>
    <x v="1"/>
    <x v="0"/>
  </r>
  <r>
    <x v="4"/>
    <n v="32"/>
    <n v="14166666.67"/>
    <n v="11165662.1"/>
    <n v="1339879.4499999993"/>
    <n v="26672208.219999999"/>
    <d v="2027-07-04T00:00:00"/>
    <x v="1"/>
    <x v="1"/>
    <x v="0"/>
  </r>
  <r>
    <x v="5"/>
    <n v="29"/>
    <n v="17972347.039999999"/>
    <n v="4649550.1900000004"/>
    <n v="557946.02"/>
    <n v="23179843.25"/>
    <d v="2027-07-07T00:00:00"/>
    <x v="0"/>
    <x v="1"/>
    <x v="0"/>
  </r>
  <r>
    <x v="7"/>
    <n v="55"/>
    <n v="1047753.6921804448"/>
    <n v="735976.83342372801"/>
    <n v="77277.567509491433"/>
    <n v="1861008.0931136643"/>
    <d v="2027-07-12T00:00:00"/>
    <x v="0"/>
    <x v="1"/>
    <x v="0"/>
  </r>
  <r>
    <x v="8"/>
    <n v="24"/>
    <n v="1602551.13"/>
    <n v="8954250.8000000007"/>
    <n v="1075405.52"/>
    <n v="11632207.449999999"/>
    <d v="2027-07-13T00:00:00"/>
    <x v="0"/>
    <x v="1"/>
    <x v="0"/>
  </r>
  <r>
    <x v="10"/>
    <n v="33"/>
    <n v="7051875.5086067589"/>
    <n v="6995144.1348591624"/>
    <n v="839417.2961830995"/>
    <n v="14886436.939649021"/>
    <d v="2027-07-17T00:00:00"/>
    <x v="3"/>
    <x v="1"/>
    <x v="0"/>
  </r>
  <r>
    <x v="11"/>
    <n v="33"/>
    <n v="2083333.33"/>
    <n v="1636529.68"/>
    <n v="196383.5700000003"/>
    <n v="3916246.58"/>
    <d v="2027-07-17T00:00:00"/>
    <x v="1"/>
    <x v="1"/>
    <x v="0"/>
  </r>
  <r>
    <x v="18"/>
    <n v="23"/>
    <n v="3502794.79"/>
    <n v="6518792.4400000004"/>
    <n v="782255.1"/>
    <n v="10803842.33"/>
    <d v="2026-11-17T00:00:00"/>
    <x v="4"/>
    <x v="1"/>
    <x v="0"/>
  </r>
  <r>
    <x v="12"/>
    <n v="31"/>
    <n v="2258743.85"/>
    <n v="2924835.75"/>
    <n v="350980.29"/>
    <n v="5534559.8899999997"/>
    <d v="2027-07-17T00:00:00"/>
    <x v="4"/>
    <x v="1"/>
    <x v="0"/>
  </r>
  <r>
    <x v="14"/>
    <n v="28"/>
    <n v="17518426.324893542"/>
    <n v="5276807.769771819"/>
    <n v="633216.93237261823"/>
    <n v="23428451.027037978"/>
    <d v="2027-07-17T00:00:00"/>
    <x v="0"/>
    <x v="1"/>
    <x v="0"/>
  </r>
  <r>
    <x v="15"/>
    <n v="24"/>
    <n v="1700342.76"/>
    <n v="4074166.81"/>
    <n v="489307.44"/>
    <n v="6263817.0099999998"/>
    <d v="2027-07-17T00:00:00"/>
    <x v="0"/>
    <x v="1"/>
    <x v="0"/>
  </r>
  <r>
    <x v="16"/>
    <n v="37"/>
    <n v="8958333.3300000001"/>
    <n v="4565068.49"/>
    <n v="547808.21999999881"/>
    <n v="14071210.039999999"/>
    <d v="2027-07-18T00:00:00"/>
    <x v="1"/>
    <x v="1"/>
    <x v="0"/>
  </r>
  <r>
    <x v="0"/>
    <n v="36"/>
    <n v="940551.12"/>
    <n v="3648873.13"/>
    <n v="437864.78"/>
    <n v="5027289.03"/>
    <d v="2027-07-19T00:00:00"/>
    <x v="0"/>
    <x v="1"/>
    <x v="0"/>
  </r>
  <r>
    <x v="17"/>
    <n v="35"/>
    <n v="3527066.76"/>
    <n v="13683274.199999999"/>
    <n v="1641992.9"/>
    <n v="18852333.859999999"/>
    <d v="2027-07-19T00:00:00"/>
    <x v="0"/>
    <x v="1"/>
    <x v="0"/>
  </r>
  <r>
    <x v="19"/>
    <n v="31"/>
    <n v="1517508.93"/>
    <n v="3388808.36"/>
    <n v="406656.99"/>
    <n v="5312974.28"/>
    <d v="2027-07-26T00:00:00"/>
    <x v="5"/>
    <x v="1"/>
    <x v="0"/>
  </r>
  <r>
    <x v="20"/>
    <n v="37"/>
    <n v="3794380.7642635833"/>
    <n v="4658803.0039958432"/>
    <n v="559056.36047950119"/>
    <n v="9012240.1287389286"/>
    <d v="2027-07-27T00:00:00"/>
    <x v="5"/>
    <x v="1"/>
    <x v="0"/>
  </r>
  <r>
    <x v="21"/>
    <n v="40"/>
    <n v="2500000"/>
    <n v="573287.64749999996"/>
    <n v="68794.517699999997"/>
    <n v="3142082.1652000002"/>
    <d v="2027-07-27T00:00:00"/>
    <x v="6"/>
    <x v="1"/>
    <x v="0"/>
  </r>
  <r>
    <x v="13"/>
    <n v="33"/>
    <n v="3593887.14"/>
    <n v="4181482.26"/>
    <n v="501777.86999999965"/>
    <n v="8277147.2699999996"/>
    <d v="2027-06-27T00:00:00"/>
    <x v="4"/>
    <x v="1"/>
    <x v="0"/>
  </r>
  <r>
    <x v="23"/>
    <n v="23"/>
    <n v="2589573.66"/>
    <n v="4670446.5599999996"/>
    <n v="560453.59"/>
    <n v="7820473.8099999996"/>
    <d v="2026-11-27T00:00:00"/>
    <x v="7"/>
    <x v="1"/>
    <x v="0"/>
  </r>
  <r>
    <x v="1"/>
    <n v="59"/>
    <n v="900549.40966709447"/>
    <n v="461612.37411969138"/>
    <n v="55393.484894362962"/>
    <n v="1417555.2686811488"/>
    <d v="2027-07-31T00:00:00"/>
    <x v="0"/>
    <x v="1"/>
    <x v="0"/>
  </r>
  <r>
    <x v="2"/>
    <n v="37"/>
    <n v="7916666.6699999999"/>
    <n v="4034246.57"/>
    <n v="484109.58999999985"/>
    <n v="12435022.83"/>
    <d v="2027-08-02T00:00:00"/>
    <x v="1"/>
    <x v="1"/>
    <x v="0"/>
  </r>
  <r>
    <x v="3"/>
    <n v="48"/>
    <n v="1304817.38877553"/>
    <n v="1427180.4620717179"/>
    <n v="171261.65544860615"/>
    <n v="2903259.5062958542"/>
    <d v="2027-08-02T00:00:00"/>
    <x v="0"/>
    <x v="1"/>
    <x v="0"/>
  </r>
  <r>
    <x v="4"/>
    <n v="33"/>
    <n v="14166666.67"/>
    <n v="10432876.710000001"/>
    <n v="1251945.1999999974"/>
    <n v="25851488.579999998"/>
    <d v="2027-08-04T00:00:00"/>
    <x v="1"/>
    <x v="1"/>
    <x v="0"/>
  </r>
  <r>
    <x v="5"/>
    <n v="30"/>
    <n v="18496745.649999999"/>
    <n v="4125151.58"/>
    <n v="495018.19"/>
    <n v="23116915.419999998"/>
    <d v="2027-08-07T00:00:00"/>
    <x v="0"/>
    <x v="1"/>
    <x v="0"/>
  </r>
  <r>
    <x v="7"/>
    <n v="56"/>
    <n v="1079186.3029458581"/>
    <n v="704544.22265831474"/>
    <n v="73977.143379123052"/>
    <n v="1857707.6689832958"/>
    <d v="2027-08-12T00:00:00"/>
    <x v="0"/>
    <x v="1"/>
    <x v="0"/>
  </r>
  <r>
    <x v="6"/>
    <n v="4"/>
    <n v="12916666.66"/>
    <n v="2641104.4553571427"/>
    <n v="316932.53464285709"/>
    <n v="15874703.649999999"/>
    <d v="2025-03-17T00:00:00"/>
    <x v="2"/>
    <x v="0"/>
    <x v="1"/>
  </r>
  <r>
    <x v="6"/>
    <n v="5"/>
    <n v="12916666.66"/>
    <n v="2955616.44"/>
    <n v="170768.95000000112"/>
    <n v="16043052.050000001"/>
    <d v="2025-04-15T00:00:00"/>
    <x v="2"/>
    <x v="0"/>
    <x v="1"/>
  </r>
  <r>
    <x v="6"/>
    <n v="6"/>
    <n v="12916666.66"/>
    <n v="2215517.9821428573"/>
    <n v="265862.15785714239"/>
    <n v="15398046.800000001"/>
    <d v="2025-05-15T00:00:00"/>
    <x v="2"/>
    <x v="0"/>
    <x v="1"/>
  </r>
  <r>
    <x v="6"/>
    <n v="7"/>
    <n v="12916666.66"/>
    <n v="2194019.6964285718"/>
    <n v="263282.36357142864"/>
    <n v="15373968.719999999"/>
    <d v="2025-06-17T00:00:00"/>
    <x v="2"/>
    <x v="0"/>
    <x v="1"/>
  </r>
  <r>
    <x v="6"/>
    <n v="8"/>
    <n v="12916666.66"/>
    <n v="1719863.01"/>
    <n v="99369.859999999404"/>
    <n v="14735899.529999999"/>
    <d v="2025-07-14T00:00:00"/>
    <x v="2"/>
    <x v="0"/>
    <x v="1"/>
  </r>
  <r>
    <x v="6"/>
    <n v="9"/>
    <n v="12916666.66"/>
    <n v="1260702.0535714291"/>
    <n v="151284.2464285715"/>
    <n v="14328652.960000001"/>
    <d v="2025-08-13T00:00:00"/>
    <x v="2"/>
    <x v="0"/>
    <x v="1"/>
  </r>
  <r>
    <x v="6"/>
    <n v="10"/>
    <n v="12916666.66"/>
    <n v="1146575.3400000001"/>
    <n v="66246.570000000298"/>
    <n v="14129488.57"/>
    <d v="2025-09-12T00:00:00"/>
    <x v="2"/>
    <x v="0"/>
    <x v="1"/>
  </r>
  <r>
    <x v="6"/>
    <n v="11"/>
    <n v="12916666.66"/>
    <n v="1168339.0446428575"/>
    <n v="140200.68535714288"/>
    <n v="14225206.390000001"/>
    <d v="2025-10-13T00:00:00"/>
    <x v="2"/>
    <x v="0"/>
    <x v="1"/>
  </r>
  <r>
    <x v="6"/>
    <n v="12"/>
    <n v="12916666.66"/>
    <n v="369452.05"/>
    <n v="21346.11999999918"/>
    <n v="13307464.83"/>
    <d v="2025-11-11T00:00:00"/>
    <x v="2"/>
    <x v="0"/>
    <x v="1"/>
  </r>
  <r>
    <x v="8"/>
    <n v="25"/>
    <n v="1652850.38"/>
    <n v="8903951.5500000007"/>
    <n v="1069364.58"/>
    <n v="11626166.51"/>
    <d v="2027-08-13T00:00:00"/>
    <x v="0"/>
    <x v="1"/>
    <x v="0"/>
  </r>
  <r>
    <x v="10"/>
    <n v="34"/>
    <n v="7227584.7400295427"/>
    <n v="6819434.9034363786"/>
    <n v="818332.18841236539"/>
    <n v="14865351.831878286"/>
    <d v="2027-08-17T00:00:00"/>
    <x v="3"/>
    <x v="1"/>
    <x v="0"/>
  </r>
  <r>
    <x v="11"/>
    <n v="34"/>
    <n v="2083333.33"/>
    <n v="1430136.99"/>
    <n v="171616.4299999997"/>
    <n v="3685086.75"/>
    <d v="2027-08-17T00:00:00"/>
    <x v="1"/>
    <x v="1"/>
    <x v="0"/>
  </r>
  <r>
    <x v="9"/>
    <n v="7"/>
    <n v="11111111.109999999"/>
    <n v="3207305.8214285723"/>
    <n v="384876.69857142866"/>
    <n v="14703293.630000001"/>
    <d v="2025-03-16T00:00:00"/>
    <x v="2"/>
    <x v="0"/>
    <x v="0"/>
  </r>
  <r>
    <x v="9"/>
    <n v="8"/>
    <n v="11111111.109999999"/>
    <n v="3293302.89"/>
    <n v="395196.24000000022"/>
    <n v="14799610.24"/>
    <d v="2025-04-16T00:00:00"/>
    <x v="2"/>
    <x v="0"/>
    <x v="0"/>
  </r>
  <r>
    <x v="9"/>
    <n v="9"/>
    <n v="11111111.109999999"/>
    <n v="2682648.3035714296"/>
    <n v="321917.79642857151"/>
    <n v="14115677.210000001"/>
    <d v="2025-05-16T00:00:00"/>
    <x v="2"/>
    <x v="0"/>
    <x v="0"/>
  </r>
  <r>
    <x v="9"/>
    <n v="10"/>
    <n v="11111111.109999999"/>
    <n v="2558219.1071428573"/>
    <n v="306986.29285714286"/>
    <n v="13976316.51"/>
    <d v="2025-06-16T00:00:00"/>
    <x v="2"/>
    <x v="0"/>
    <x v="0"/>
  </r>
  <r>
    <x v="9"/>
    <n v="11"/>
    <n v="11111111.109999999"/>
    <n v="2651750.38"/>
    <n v="318209.94999999925"/>
    <n v="14081071.439999999"/>
    <d v="2025-07-16T00:00:00"/>
    <x v="2"/>
    <x v="0"/>
    <x v="0"/>
  </r>
  <r>
    <x v="9"/>
    <n v="12"/>
    <n v="11111111.109999999"/>
    <n v="1401997.7232142866"/>
    <n v="168239.72678571439"/>
    <n v="12681348.560000001"/>
    <d v="2025-08-16T00:00:00"/>
    <x v="2"/>
    <x v="0"/>
    <x v="0"/>
  </r>
  <r>
    <x v="9"/>
    <n v="13"/>
    <n v="11111111.109999999"/>
    <n v="1924657.53"/>
    <n v="230958.85000000149"/>
    <n v="13266727.49"/>
    <d v="2025-09-16T00:00:00"/>
    <x v="2"/>
    <x v="0"/>
    <x v="0"/>
  </r>
  <r>
    <x v="9"/>
    <n v="14"/>
    <n v="11111111.109999999"/>
    <n v="2347031.9732142859"/>
    <n v="281643.83678571432"/>
    <n v="13739786.92"/>
    <d v="2025-10-16T00:00:00"/>
    <x v="2"/>
    <x v="0"/>
    <x v="0"/>
  </r>
  <r>
    <x v="9"/>
    <n v="15"/>
    <n v="11111111.109999999"/>
    <n v="1086757.9910714296"/>
    <n v="130410.95892857155"/>
    <n v="12328280.060000001"/>
    <d v="2025-11-16T00:00:00"/>
    <x v="2"/>
    <x v="0"/>
    <x v="0"/>
  </r>
  <r>
    <x v="9"/>
    <n v="16"/>
    <n v="11111111.109999999"/>
    <n v="772260.09821428615"/>
    <n v="92671.211785714346"/>
    <n v="11976042.42"/>
    <d v="2025-12-16T00:00:00"/>
    <x v="2"/>
    <x v="0"/>
    <x v="0"/>
  </r>
  <r>
    <x v="9"/>
    <n v="17"/>
    <n v="11111111.109999999"/>
    <n v="484018.24107142823"/>
    <n v="58082.188928571384"/>
    <n v="11653211.539999999"/>
    <d v="2026-01-12T00:00:00"/>
    <x v="2"/>
    <x v="0"/>
    <x v="0"/>
  </r>
  <r>
    <x v="9"/>
    <n v="18"/>
    <n v="11111111.109999999"/>
    <n v="331468.79999999999"/>
    <n v="39776.240000000224"/>
    <n v="11482356.15"/>
    <d v="2026-02-09T00:00:00"/>
    <x v="2"/>
    <x v="0"/>
    <x v="0"/>
  </r>
  <r>
    <x v="18"/>
    <n v="24"/>
    <n v="3600680.39"/>
    <n v="6420906.8399999999"/>
    <n v="770508.82"/>
    <n v="10792096.050000001"/>
    <d v="2026-12-17T00:00:00"/>
    <x v="4"/>
    <x v="1"/>
    <x v="0"/>
  </r>
  <r>
    <x v="12"/>
    <n v="32"/>
    <n v="2321864.44"/>
    <n v="2861715.16"/>
    <n v="343405.82"/>
    <n v="5526985.4199999999"/>
    <d v="2027-08-17T00:00:00"/>
    <x v="4"/>
    <x v="1"/>
    <x v="0"/>
  </r>
  <r>
    <x v="14"/>
    <n v="29"/>
    <n v="18038504.606413819"/>
    <n v="4756729.4882515427"/>
    <n v="570807.53859018511"/>
    <n v="23366041.633255545"/>
    <d v="2027-08-17T00:00:00"/>
    <x v="0"/>
    <x v="1"/>
    <x v="0"/>
  </r>
  <r>
    <x v="15"/>
    <n v="25"/>
    <n v="1757467.28"/>
    <n v="4017042.29"/>
    <n v="482446.77"/>
    <n v="6256956.3399999999"/>
    <d v="2027-08-17T00:00:00"/>
    <x v="0"/>
    <x v="1"/>
    <x v="0"/>
  </r>
  <r>
    <x v="16"/>
    <n v="38"/>
    <n v="8958333.3300000001"/>
    <n v="4233732.88"/>
    <n v="508047.93999999948"/>
    <n v="13700114.15"/>
    <d v="2027-08-18T00:00:00"/>
    <x v="1"/>
    <x v="1"/>
    <x v="0"/>
  </r>
  <r>
    <x v="0"/>
    <n v="37"/>
    <n v="971473.35"/>
    <n v="3617950.9"/>
    <n v="434154.1"/>
    <n v="5023578.3499999996"/>
    <d v="2027-08-19T00:00:00"/>
    <x v="0"/>
    <x v="1"/>
    <x v="0"/>
  </r>
  <r>
    <x v="31"/>
    <n v="1"/>
    <n v="8045973.0800000001"/>
    <n v="2522465.75"/>
    <n v="302695.89"/>
    <n v="10871134.720000001"/>
    <d v="2025-02-10T00:00:00"/>
    <x v="8"/>
    <x v="0"/>
    <x v="1"/>
  </r>
  <r>
    <x v="31"/>
    <n v="2"/>
    <n v="8895003.8200000003"/>
    <n v="935493.72"/>
    <n v="112259.24639999999"/>
    <n v="9942756.7863999996"/>
    <d v="2025-03-10T00:00:00"/>
    <x v="8"/>
    <x v="0"/>
    <x v="1"/>
  </r>
  <r>
    <x v="31"/>
    <n v="3"/>
    <n v="9095697.3100000005"/>
    <n v="786421.39"/>
    <n v="94370.566800000001"/>
    <n v="9976489.2668000013"/>
    <d v="2025-04-10T00:00:00"/>
    <x v="8"/>
    <x v="0"/>
    <x v="1"/>
  </r>
  <r>
    <x v="31"/>
    <n v="4"/>
    <n v="9354796.4800000004"/>
    <n v="514347.74"/>
    <n v="61721.728799999997"/>
    <n v="9930865.9488000013"/>
    <d v="2025-05-10T00:00:00"/>
    <x v="8"/>
    <x v="0"/>
    <x v="1"/>
  </r>
  <r>
    <x v="31"/>
    <n v="5"/>
    <n v="9608529.3100000005"/>
    <n v="269302.07"/>
    <n v="32316.2484"/>
    <n v="9910147.6283999998"/>
    <d v="2025-06-10T00:00:00"/>
    <x v="8"/>
    <x v="0"/>
    <x v="1"/>
  </r>
  <r>
    <x v="18"/>
    <n v="25"/>
    <n v="3701301.4"/>
    <n v="6320285.8300000001"/>
    <n v="758434.3"/>
    <n v="10780021.529999999"/>
    <d v="2027-01-17T00:00:00"/>
    <x v="4"/>
    <x v="1"/>
    <x v="0"/>
  </r>
  <r>
    <x v="18"/>
    <n v="26"/>
    <n v="3804734.27"/>
    <n v="6216852.96"/>
    <n v="746022.35"/>
    <n v="10767609.58"/>
    <d v="2027-02-17T00:00:00"/>
    <x v="4"/>
    <x v="1"/>
    <x v="0"/>
  </r>
  <r>
    <x v="18"/>
    <n v="27"/>
    <n v="3911057.57"/>
    <n v="6110529.6600000001"/>
    <n v="733263.55"/>
    <n v="10754850.779999999"/>
    <d v="2027-03-17T00:00:00"/>
    <x v="4"/>
    <x v="1"/>
    <x v="0"/>
  </r>
  <r>
    <x v="18"/>
    <n v="28"/>
    <n v="4020352.07"/>
    <n v="6001235.1600000001"/>
    <n v="720148.22"/>
    <n v="10741735.449999999"/>
    <d v="2027-04-17T00:00:00"/>
    <x v="4"/>
    <x v="1"/>
    <x v="0"/>
  </r>
  <r>
    <x v="18"/>
    <n v="29"/>
    <n v="4132700.81"/>
    <n v="5888886.4199999999"/>
    <n v="706666.37"/>
    <n v="10728253.6"/>
    <d v="2027-05-17T00:00:00"/>
    <x v="4"/>
    <x v="1"/>
    <x v="0"/>
  </r>
  <r>
    <x v="13"/>
    <n v="34"/>
    <n v="3694318.31"/>
    <n v="4081051.09"/>
    <n v="489726.13000000035"/>
    <n v="8265095.5300000003"/>
    <d v="2027-07-27T00:00:00"/>
    <x v="4"/>
    <x v="1"/>
    <x v="0"/>
  </r>
  <r>
    <x v="18"/>
    <n v="30"/>
    <n v="4248189.13"/>
    <n v="5773398.0999999996"/>
    <n v="692807.77"/>
    <n v="10714395"/>
    <d v="2027-06-17T00:00:00"/>
    <x v="4"/>
    <x v="1"/>
    <x v="0"/>
  </r>
  <r>
    <x v="18"/>
    <n v="31"/>
    <n v="4366904.78"/>
    <n v="5654682.4500000002"/>
    <n v="678561.9"/>
    <n v="10700149.130000001"/>
    <d v="2027-07-17T00:00:00"/>
    <x v="4"/>
    <x v="1"/>
    <x v="0"/>
  </r>
  <r>
    <x v="17"/>
    <n v="36"/>
    <n v="3643025.12"/>
    <n v="13567315.84"/>
    <n v="1628077.9"/>
    <n v="18838418.859999999"/>
    <d v="2027-08-19T00:00:00"/>
    <x v="0"/>
    <x v="1"/>
    <x v="0"/>
  </r>
  <r>
    <x v="19"/>
    <n v="32"/>
    <n v="1560505.01"/>
    <n v="3345812.28"/>
    <n v="401497.46"/>
    <n v="5307814.75"/>
    <d v="2027-08-26T00:00:00"/>
    <x v="5"/>
    <x v="1"/>
    <x v="0"/>
  </r>
  <r>
    <x v="20"/>
    <n v="38"/>
    <n v="3879754.3314595139"/>
    <n v="4573429.4367999127"/>
    <n v="548811.53241598955"/>
    <n v="9001995.3006754164"/>
    <d v="2027-08-27T00:00:00"/>
    <x v="5"/>
    <x v="1"/>
    <x v="0"/>
  </r>
  <r>
    <x v="21"/>
    <n v="41"/>
    <n v="2500000"/>
    <n v="509589.02"/>
    <n v="61150.682399999998"/>
    <n v="3070739.7023999998"/>
    <d v="2027-08-27T00:00:00"/>
    <x v="6"/>
    <x v="1"/>
    <x v="0"/>
  </r>
  <r>
    <x v="13"/>
    <n v="35"/>
    <n v="3797556.04"/>
    <n v="3977813.36"/>
    <n v="477337.60000000056"/>
    <n v="8252707"/>
    <d v="2027-08-27T00:00:00"/>
    <x v="4"/>
    <x v="1"/>
    <x v="0"/>
  </r>
  <r>
    <x v="23"/>
    <n v="24"/>
    <n v="2660786.94"/>
    <n v="4599233.28"/>
    <n v="551907.99"/>
    <n v="7811928.21"/>
    <d v="2026-12-27T00:00:00"/>
    <x v="7"/>
    <x v="1"/>
    <x v="0"/>
  </r>
  <r>
    <x v="1"/>
    <n v="60"/>
    <n v="927565.89195710723"/>
    <n v="434595.89182967856"/>
    <n v="52151.507019561424"/>
    <n v="1414313.2908063473"/>
    <d v="2027-08-31T00:00:00"/>
    <x v="0"/>
    <x v="1"/>
    <x v="0"/>
  </r>
  <r>
    <x v="2"/>
    <n v="38"/>
    <n v="7916666.6699999999"/>
    <n v="3866152.97"/>
    <n v="463938.34999999963"/>
    <n v="12246757.99"/>
    <d v="2027-09-02T00:00:00"/>
    <x v="1"/>
    <x v="1"/>
    <x v="0"/>
  </r>
  <r>
    <x v="3"/>
    <n v="49"/>
    <n v="1343961.9104387958"/>
    <n v="1388035.9404084522"/>
    <n v="166564.31284901427"/>
    <n v="2898562.1636962621"/>
    <d v="2027-09-02T00:00:00"/>
    <x v="0"/>
    <x v="1"/>
    <x v="0"/>
  </r>
  <r>
    <x v="4"/>
    <n v="34"/>
    <n v="14166666.67"/>
    <n v="11066301.369999999"/>
    <n v="1327956.1600000001"/>
    <n v="26560924.199999999"/>
    <d v="2027-09-04T00:00:00"/>
    <x v="1"/>
    <x v="1"/>
    <x v="0"/>
  </r>
  <r>
    <x v="5"/>
    <n v="31"/>
    <n v="19036445.210000001"/>
    <n v="3585452.02"/>
    <n v="430254.24"/>
    <n v="23052151.469999999"/>
    <d v="2027-09-07T00:00:00"/>
    <x v="0"/>
    <x v="1"/>
    <x v="0"/>
  </r>
  <r>
    <x v="7"/>
    <n v="57"/>
    <n v="1111561.892034234"/>
    <n v="672168.63356993895"/>
    <n v="70577.706524843583"/>
    <n v="1854308.2321290167"/>
    <d v="2027-09-12T00:00:00"/>
    <x v="0"/>
    <x v="1"/>
    <x v="0"/>
  </r>
  <r>
    <x v="8"/>
    <n v="26"/>
    <n v="1704728.37"/>
    <n v="8852073.5600000005"/>
    <n v="1063134.03"/>
    <n v="11619935.959999999"/>
    <d v="2027-09-13T00:00:00"/>
    <x v="0"/>
    <x v="1"/>
    <x v="0"/>
  </r>
  <r>
    <x v="10"/>
    <n v="35"/>
    <n v="7407672.0598019455"/>
    <n v="6639347.5836639758"/>
    <n v="796721.7100396771"/>
    <n v="14843741.353505598"/>
    <d v="2027-09-17T00:00:00"/>
    <x v="3"/>
    <x v="1"/>
    <x v="0"/>
  </r>
  <r>
    <x v="11"/>
    <n v="35"/>
    <n v="2083333.33"/>
    <n v="1472146.12"/>
    <n v="176657.5299999998"/>
    <n v="3732136.98"/>
    <d v="2027-09-17T00:00:00"/>
    <x v="1"/>
    <x v="1"/>
    <x v="0"/>
  </r>
  <r>
    <x v="18"/>
    <n v="32"/>
    <n v="4488937.93"/>
    <n v="5532649.2999999998"/>
    <n v="663917.92000000004"/>
    <n v="10685505.15"/>
    <d v="2027-08-17T00:00:00"/>
    <x v="4"/>
    <x v="1"/>
    <x v="0"/>
  </r>
  <r>
    <x v="12"/>
    <n v="33"/>
    <n v="2386748.9500000002"/>
    <n v="2796830.65"/>
    <n v="335619.68"/>
    <n v="5519199.2800000003"/>
    <d v="2027-09-17T00:00:00"/>
    <x v="4"/>
    <x v="1"/>
    <x v="0"/>
  </r>
  <r>
    <x v="14"/>
    <n v="30"/>
    <n v="18574022.711916726"/>
    <n v="4221211.3827486327"/>
    <n v="506545.36592983594"/>
    <n v="23301779.460595194"/>
    <d v="2027-09-17T00:00:00"/>
    <x v="0"/>
    <x v="1"/>
    <x v="0"/>
  </r>
  <r>
    <x v="15"/>
    <n v="26"/>
    <n v="1816510.96"/>
    <n v="3957998.61"/>
    <n v="475355.63"/>
    <n v="6249865.2000000002"/>
    <d v="2027-09-17T00:00:00"/>
    <x v="0"/>
    <x v="1"/>
    <x v="0"/>
  </r>
  <r>
    <x v="16"/>
    <n v="39"/>
    <n v="8958333.3300000001"/>
    <n v="4454623.29"/>
    <n v="534554.79999999888"/>
    <n v="13947511.42"/>
    <d v="2027-09-18T00:00:00"/>
    <x v="1"/>
    <x v="1"/>
    <x v="0"/>
  </r>
  <r>
    <x v="0"/>
    <n v="38"/>
    <n v="1003412.2"/>
    <n v="3586012.05"/>
    <n v="430321.45"/>
    <n v="5019745.7"/>
    <d v="2027-09-19T00:00:00"/>
    <x v="0"/>
    <x v="1"/>
    <x v="0"/>
  </r>
  <r>
    <x v="17"/>
    <n v="37"/>
    <n v="3762795.81"/>
    <n v="13447545.15"/>
    <n v="1613705.42"/>
    <n v="18824046.379999999"/>
    <d v="2027-09-19T00:00:00"/>
    <x v="0"/>
    <x v="1"/>
    <x v="0"/>
  </r>
  <r>
    <x v="19"/>
    <n v="33"/>
    <n v="1604719.32"/>
    <n v="3301597.97"/>
    <n v="396191.74"/>
    <n v="5302509.03"/>
    <d v="2027-09-26T00:00:00"/>
    <x v="5"/>
    <x v="1"/>
    <x v="0"/>
  </r>
  <r>
    <x v="20"/>
    <n v="39"/>
    <n v="3967048.803917353"/>
    <n v="4486134.9643420735"/>
    <n v="538336.19572104886"/>
    <n v="8991519.9639804754"/>
    <d v="2027-09-27T00:00:00"/>
    <x v="5"/>
    <x v="1"/>
    <x v="0"/>
  </r>
  <r>
    <x v="21"/>
    <n v="42"/>
    <n v="2500000"/>
    <n v="445890.39250000002"/>
    <n v="53506.847099999999"/>
    <n v="2999397.2396"/>
    <d v="2027-09-27T00:00:00"/>
    <x v="6"/>
    <x v="1"/>
    <x v="0"/>
  </r>
  <r>
    <x v="13"/>
    <n v="36"/>
    <n v="3903678.74"/>
    <n v="3871690.66"/>
    <n v="464602.87999999989"/>
    <n v="8239972.2800000003"/>
    <d v="2027-09-27T00:00:00"/>
    <x v="4"/>
    <x v="1"/>
    <x v="0"/>
  </r>
  <r>
    <x v="23"/>
    <n v="25"/>
    <n v="2733958.58"/>
    <n v="4526061.6399999997"/>
    <n v="543127.39"/>
    <n v="7803147.6100000003"/>
    <d v="2027-01-27T00:00:00"/>
    <x v="7"/>
    <x v="1"/>
    <x v="0"/>
  </r>
  <r>
    <x v="1"/>
    <n v="61"/>
    <n v="955392.86871582048"/>
    <n v="406768.9150709653"/>
    <n v="48812.269808515834"/>
    <n v="1410974.0535953017"/>
    <d v="2027-09-30T00:00:00"/>
    <x v="0"/>
    <x v="1"/>
    <x v="0"/>
  </r>
  <r>
    <x v="2"/>
    <n v="39"/>
    <n v="7916666.6699999999"/>
    <n v="3817351.6"/>
    <n v="458082.19000000134"/>
    <n v="12192100.460000001"/>
    <d v="2027-10-02T00:00:00"/>
    <x v="1"/>
    <x v="1"/>
    <x v="0"/>
  </r>
  <r>
    <x v="3"/>
    <n v="50"/>
    <n v="1384280.7677519599"/>
    <n v="1347717.0830952881"/>
    <n v="161726.04997143458"/>
    <n v="2893723.9008186827"/>
    <d v="2027-10-02T00:00:00"/>
    <x v="0"/>
    <x v="1"/>
    <x v="0"/>
  </r>
  <r>
    <x v="4"/>
    <n v="35"/>
    <n v="14166666.67"/>
    <n v="9041826.4800000004"/>
    <n v="1085019.1799999978"/>
    <n v="24293512.329999998"/>
    <d v="2027-10-04T00:00:00"/>
    <x v="1"/>
    <x v="1"/>
    <x v="0"/>
  </r>
  <r>
    <x v="5"/>
    <n v="32"/>
    <n v="19591892.170000002"/>
    <n v="3030005.06"/>
    <n v="363600.61"/>
    <n v="22985497.84"/>
    <d v="2027-10-07T00:00:00"/>
    <x v="0"/>
    <x v="1"/>
    <x v="0"/>
  </r>
  <r>
    <x v="7"/>
    <n v="58"/>
    <n v="1144908.7487952609"/>
    <n v="638821.77680891193"/>
    <n v="67076.286564935755"/>
    <n v="1850806.8121691085"/>
    <d v="2027-10-12T00:00:00"/>
    <x v="0"/>
    <x v="1"/>
    <x v="0"/>
  </r>
  <r>
    <x v="8"/>
    <n v="27"/>
    <n v="1758234.66"/>
    <n v="8798567.2699999996"/>
    <n v="1056707.93"/>
    <n v="11613509.859999999"/>
    <d v="2027-10-13T00:00:00"/>
    <x v="0"/>
    <x v="1"/>
    <x v="0"/>
  </r>
  <r>
    <x v="10"/>
    <n v="36"/>
    <n v="7592246.5552920103"/>
    <n v="6454773.088173911"/>
    <n v="774572.77058086928"/>
    <n v="14821592.41404679"/>
    <d v="2027-10-17T00:00:00"/>
    <x v="3"/>
    <x v="1"/>
    <x v="0"/>
  </r>
  <r>
    <x v="11"/>
    <n v="36"/>
    <n v="2083333.33"/>
    <n v="1415525.12"/>
    <n v="169863.02000000002"/>
    <n v="3668721.47"/>
    <d v="2027-10-17T00:00:00"/>
    <x v="1"/>
    <x v="1"/>
    <x v="0"/>
  </r>
  <r>
    <x v="18"/>
    <n v="33"/>
    <n v="4614381.3"/>
    <n v="5407205.9299999997"/>
    <n v="648864.71"/>
    <n v="10670451.939999999"/>
    <d v="2027-09-17T00:00:00"/>
    <x v="4"/>
    <x v="1"/>
    <x v="0"/>
  </r>
  <r>
    <x v="12"/>
    <n v="34"/>
    <n v="2453446.65"/>
    <n v="2730132.95"/>
    <n v="327615.95"/>
    <n v="5511195.5499999998"/>
    <d v="2027-10-17T00:00:00"/>
    <x v="4"/>
    <x v="1"/>
    <x v="0"/>
  </r>
  <r>
    <x v="14"/>
    <n v="31"/>
    <n v="19125439.011176754"/>
    <n v="3669795.0834886045"/>
    <n v="440375.41001863254"/>
    <n v="23235609.50468399"/>
    <d v="2027-10-17T00:00:00"/>
    <x v="0"/>
    <x v="1"/>
    <x v="0"/>
  </r>
  <r>
    <x v="15"/>
    <n v="27"/>
    <n v="1877538.26"/>
    <n v="3896971.31"/>
    <n v="468026.26"/>
    <n v="6242535.8300000001"/>
    <d v="2027-10-17T00:00:00"/>
    <x v="0"/>
    <x v="1"/>
    <x v="0"/>
  </r>
  <r>
    <x v="16"/>
    <n v="40"/>
    <n v="8958333.3300000001"/>
    <n v="3607876.71"/>
    <n v="432945.20000000112"/>
    <n v="12999155.24"/>
    <d v="2027-10-18T00:00:00"/>
    <x v="1"/>
    <x v="1"/>
    <x v="0"/>
  </r>
  <r>
    <x v="0"/>
    <n v="39"/>
    <n v="1036401.1"/>
    <n v="3553023.15"/>
    <n v="426362.78"/>
    <n v="5015787.03"/>
    <d v="2027-10-19T00:00:00"/>
    <x v="0"/>
    <x v="1"/>
    <x v="0"/>
  </r>
  <r>
    <x v="17"/>
    <n v="38"/>
    <n v="3886504.16"/>
    <n v="13323836.800000001"/>
    <n v="1598860.41"/>
    <n v="18809201.370000001"/>
    <d v="2027-10-19T00:00:00"/>
    <x v="0"/>
    <x v="1"/>
    <x v="0"/>
  </r>
  <r>
    <x v="19"/>
    <n v="34"/>
    <n v="1650186.37"/>
    <n v="3256130.92"/>
    <n v="390735.7"/>
    <n v="5297052.99"/>
    <d v="2027-10-26T00:00:00"/>
    <x v="5"/>
    <x v="1"/>
    <x v="0"/>
  </r>
  <r>
    <x v="20"/>
    <n v="40"/>
    <n v="4056307.4020054936"/>
    <n v="4396876.3662539329"/>
    <n v="527625.16395047191"/>
    <n v="8980808.9322098978"/>
    <d v="2027-10-27T00:00:00"/>
    <x v="5"/>
    <x v="1"/>
    <x v="0"/>
  </r>
  <r>
    <x v="21"/>
    <n v="43"/>
    <n v="2500000"/>
    <n v="382191.76500000001"/>
    <n v="45863.0118"/>
    <n v="2928054.7768000001"/>
    <d v="2027-10-27T00:00:00"/>
    <x v="6"/>
    <x v="1"/>
    <x v="0"/>
  </r>
  <r>
    <x v="13"/>
    <n v="37"/>
    <n v="4012767.04"/>
    <n v="3762602.36"/>
    <n v="451512.29000000004"/>
    <n v="8226881.6900000004"/>
    <d v="2027-10-27T00:00:00"/>
    <x v="4"/>
    <x v="1"/>
    <x v="0"/>
  </r>
  <r>
    <x v="23"/>
    <n v="26"/>
    <n v="2809142.44"/>
    <n v="4450877.78"/>
    <n v="534105.34"/>
    <n v="7794125.5599999996"/>
    <d v="2027-02-27T00:00:00"/>
    <x v="7"/>
    <x v="1"/>
    <x v="0"/>
  </r>
  <r>
    <x v="1"/>
    <n v="62"/>
    <n v="984054.65477729519"/>
    <n v="378107.12900949066"/>
    <n v="45372.855481138875"/>
    <n v="1407534.6392679247"/>
    <d v="2027-10-31T00:00:00"/>
    <x v="0"/>
    <x v="1"/>
    <x v="0"/>
  </r>
  <r>
    <x v="2"/>
    <n v="40"/>
    <n v="7916666.6699999999"/>
    <n v="3302226.03"/>
    <n v="396267.12000000104"/>
    <n v="11615159.82"/>
    <d v="2027-11-02T00:00:00"/>
    <x v="1"/>
    <x v="1"/>
    <x v="0"/>
  </r>
  <r>
    <x v="3"/>
    <n v="51"/>
    <n v="1425809.1907845186"/>
    <n v="1306188.6600627294"/>
    <n v="156742.63920752754"/>
    <n v="2888740.4900547755"/>
    <d v="2027-11-02T00:00:00"/>
    <x v="0"/>
    <x v="1"/>
    <x v="0"/>
  </r>
  <r>
    <x v="4"/>
    <n v="36"/>
    <n v="14166666.67"/>
    <n v="9625570.7699999996"/>
    <n v="1155068.4900000002"/>
    <n v="24947305.93"/>
    <d v="2027-11-04T00:00:00"/>
    <x v="1"/>
    <x v="1"/>
    <x v="0"/>
  </r>
  <r>
    <x v="12"/>
    <n v="1"/>
    <n v="852104.6"/>
    <n v="4331475"/>
    <n v="519777.01"/>
    <n v="5703356.6100000003"/>
    <d v="2025-01-17T00:00:00"/>
    <x v="4"/>
    <x v="0"/>
    <x v="0"/>
  </r>
  <r>
    <x v="12"/>
    <n v="2"/>
    <n v="1015641.66"/>
    <n v="4167937.94"/>
    <n v="500152.55"/>
    <n v="5683732.1500000004"/>
    <d v="2025-02-17T00:00:00"/>
    <x v="4"/>
    <x v="0"/>
    <x v="0"/>
  </r>
  <r>
    <x v="12"/>
    <n v="3"/>
    <n v="1044023.77"/>
    <n v="4139555.83"/>
    <n v="496746.7"/>
    <n v="5680326.2999999998"/>
    <d v="2025-03-17T00:00:00"/>
    <x v="4"/>
    <x v="0"/>
    <x v="0"/>
  </r>
  <r>
    <x v="12"/>
    <n v="4"/>
    <n v="1073199.01"/>
    <n v="4110380.59"/>
    <n v="493245.67"/>
    <n v="5676825.2699999996"/>
    <d v="2025-04-17T00:00:00"/>
    <x v="4"/>
    <x v="0"/>
    <x v="0"/>
  </r>
  <r>
    <x v="12"/>
    <n v="5"/>
    <n v="1103189.56"/>
    <n v="4080390.04"/>
    <n v="489646.8"/>
    <n v="5673226.4000000004"/>
    <d v="2025-05-17T00:00:00"/>
    <x v="4"/>
    <x v="0"/>
    <x v="0"/>
  </r>
  <r>
    <x v="18"/>
    <n v="34"/>
    <n v="4743330.1900000004"/>
    <n v="5278257.04"/>
    <n v="633390.85"/>
    <n v="10654978.08"/>
    <d v="2027-10-17T00:00:00"/>
    <x v="4"/>
    <x v="1"/>
    <x v="0"/>
  </r>
  <r>
    <x v="12"/>
    <n v="7"/>
    <n v="1165708.33"/>
    <n v="4017871.27"/>
    <n v="482144.55"/>
    <n v="5665724.1500000004"/>
    <d v="2025-07-17T00:00:00"/>
    <x v="4"/>
    <x v="0"/>
    <x v="0"/>
  </r>
  <r>
    <x v="12"/>
    <n v="8"/>
    <n v="1198284.05"/>
    <n v="3985295.55"/>
    <n v="478235.46"/>
    <n v="5661815.0599999996"/>
    <d v="2025-08-17T00:00:00"/>
    <x v="4"/>
    <x v="0"/>
    <x v="0"/>
  </r>
  <r>
    <x v="5"/>
    <n v="33"/>
    <n v="20163546.010000002"/>
    <n v="2458351.2200000002"/>
    <n v="295002.15000000002"/>
    <n v="22916899.379999999"/>
    <d v="2027-11-07T00:00:00"/>
    <x v="0"/>
    <x v="1"/>
    <x v="0"/>
  </r>
  <r>
    <x v="7"/>
    <n v="59"/>
    <n v="1179256.0112591186"/>
    <n v="604474.51434505417"/>
    <n v="63469.824006230687"/>
    <n v="1847200.3496104032"/>
    <d v="2027-11-12T00:00:00"/>
    <x v="0"/>
    <x v="1"/>
    <x v="0"/>
  </r>
  <r>
    <x v="8"/>
    <n v="28"/>
    <n v="1813420.34"/>
    <n v="8743381.5899999999"/>
    <n v="1050080.1299999999"/>
    <n v="11606882.059999999"/>
    <d v="2027-11-13T00:00:00"/>
    <x v="0"/>
    <x v="1"/>
    <x v="0"/>
  </r>
  <r>
    <x v="10"/>
    <n v="37"/>
    <n v="7781420.0319613703"/>
    <n v="6265599.611504551"/>
    <n v="751871.95338054607"/>
    <n v="14798891.596846467"/>
    <d v="2027-11-17T00:00:00"/>
    <x v="3"/>
    <x v="1"/>
    <x v="0"/>
  </r>
  <r>
    <x v="11"/>
    <n v="37"/>
    <n v="2083333.33"/>
    <n v="1315068.5"/>
    <n v="157808.21999999974"/>
    <n v="3556210.05"/>
    <d v="2027-11-17T00:00:00"/>
    <x v="1"/>
    <x v="1"/>
    <x v="0"/>
  </r>
  <r>
    <x v="18"/>
    <n v="35"/>
    <n v="4875882.55"/>
    <n v="5145704.68"/>
    <n v="617484.56000000006"/>
    <n v="10639071.789999999"/>
    <d v="2027-11-17T00:00:00"/>
    <x v="4"/>
    <x v="1"/>
    <x v="0"/>
  </r>
  <r>
    <x v="12"/>
    <n v="35"/>
    <n v="2522008.21"/>
    <n v="2661571.39"/>
    <n v="319388.57"/>
    <n v="5502968.1699999999"/>
    <d v="2027-11-17T00:00:00"/>
    <x v="4"/>
    <x v="1"/>
    <x v="0"/>
  </r>
  <r>
    <x v="14"/>
    <n v="32"/>
    <n v="19693225.481821064"/>
    <n v="3102008.6128442949"/>
    <n v="372241.03354131541"/>
    <n v="23167475.128206674"/>
    <d v="2027-11-17T00:00:00"/>
    <x v="0"/>
    <x v="1"/>
    <x v="0"/>
  </r>
  <r>
    <x v="15"/>
    <n v="28"/>
    <n v="1940615.83"/>
    <n v="3833893.74"/>
    <n v="460450.64"/>
    <n v="6234960.21"/>
    <d v="2027-11-17T00:00:00"/>
    <x v="0"/>
    <x v="1"/>
    <x v="0"/>
  </r>
  <r>
    <x v="16"/>
    <n v="41"/>
    <n v="8958333.3300000001"/>
    <n v="3804223.75"/>
    <n v="456506.84999999963"/>
    <n v="13219063.93"/>
    <d v="2027-11-18T00:00:00"/>
    <x v="1"/>
    <x v="1"/>
    <x v="0"/>
  </r>
  <r>
    <x v="0"/>
    <n v="40"/>
    <n v="1070474.56"/>
    <n v="3518949.69"/>
    <n v="422273.97"/>
    <n v="5011698.22"/>
    <d v="2027-11-19T00:00:00"/>
    <x v="0"/>
    <x v="1"/>
    <x v="0"/>
  </r>
  <r>
    <x v="17"/>
    <n v="39"/>
    <n v="4014279.64"/>
    <n v="13196061.32"/>
    <n v="1583527.36"/>
    <n v="18793868.32"/>
    <d v="2027-11-19T00:00:00"/>
    <x v="0"/>
    <x v="1"/>
    <x v="0"/>
  </r>
  <r>
    <x v="19"/>
    <n v="35"/>
    <n v="1696941.65"/>
    <n v="3209375.64"/>
    <n v="385125.07"/>
    <n v="5291442.3600000003"/>
    <d v="2027-11-26T00:00:00"/>
    <x v="5"/>
    <x v="1"/>
    <x v="0"/>
  </r>
  <r>
    <x v="20"/>
    <n v="41"/>
    <n v="4147574.3185506174"/>
    <n v="4305609.4497088091"/>
    <n v="516673.13396505709"/>
    <n v="8969856.902224483"/>
    <d v="2027-11-27T00:00:00"/>
    <x v="5"/>
    <x v="1"/>
    <x v="0"/>
  </r>
  <r>
    <x v="21"/>
    <n v="44"/>
    <n v="2500000"/>
    <n v="318493.13750000001"/>
    <n v="38219.176500000001"/>
    <n v="2856712.3140000002"/>
    <d v="2027-11-27T00:00:00"/>
    <x v="6"/>
    <x v="1"/>
    <x v="0"/>
  </r>
  <r>
    <x v="13"/>
    <n v="38"/>
    <n v="4124903.82"/>
    <n v="3650465.58"/>
    <n v="438055.86999999965"/>
    <n v="8213425.2699999996"/>
    <d v="2027-11-27T00:00:00"/>
    <x v="4"/>
    <x v="1"/>
    <x v="0"/>
  </r>
  <r>
    <x v="23"/>
    <n v="27"/>
    <n v="2886393.85"/>
    <n v="4373626.37"/>
    <n v="524835.17000000004"/>
    <n v="7784855.3899999997"/>
    <d v="2027-03-27T00:00:00"/>
    <x v="7"/>
    <x v="1"/>
    <x v="0"/>
  </r>
  <r>
    <x v="1"/>
    <n v="63"/>
    <n v="1013576.294420614"/>
    <n v="348585.48936617177"/>
    <n v="41830.258723940613"/>
    <n v="1403992.0425107265"/>
    <d v="2027-11-30T00:00:00"/>
    <x v="0"/>
    <x v="1"/>
    <x v="0"/>
  </r>
  <r>
    <x v="2"/>
    <n v="41"/>
    <n v="7916666.6699999999"/>
    <n v="3253424.66"/>
    <n v="390410.95999999903"/>
    <n v="11560502.289999999"/>
    <d v="2027-12-02T00:00:00"/>
    <x v="1"/>
    <x v="1"/>
    <x v="0"/>
  </r>
  <r>
    <x v="3"/>
    <n v="52"/>
    <n v="1468583.4665080544"/>
    <n v="1263414.3843391936"/>
    <n v="151609.72612070324"/>
    <n v="2883607.5769679514"/>
    <d v="2027-12-02T00:00:00"/>
    <x v="0"/>
    <x v="1"/>
    <x v="0"/>
  </r>
  <r>
    <x v="4"/>
    <n v="37"/>
    <n v="14166666.67"/>
    <n v="9538630.1300000008"/>
    <n v="1144635.6099999994"/>
    <n v="24849932.41"/>
    <d v="2027-12-04T00:00:00"/>
    <x v="1"/>
    <x v="1"/>
    <x v="0"/>
  </r>
  <r>
    <x v="5"/>
    <n v="34"/>
    <n v="20751879.609999999"/>
    <n v="1870017.62"/>
    <n v="224402.11"/>
    <n v="22846299.34"/>
    <d v="2027-12-07T00:00:00"/>
    <x v="0"/>
    <x v="1"/>
    <x v="0"/>
  </r>
  <r>
    <x v="7"/>
    <n v="60"/>
    <n v="1214633.6915968922"/>
    <n v="569096.83400728053"/>
    <n v="59755.167570764454"/>
    <n v="1843485.693174937"/>
    <d v="2027-12-12T00:00:00"/>
    <x v="0"/>
    <x v="1"/>
    <x v="0"/>
  </r>
  <r>
    <x v="8"/>
    <n v="29"/>
    <n v="1870338.14"/>
    <n v="8686463.7899999991"/>
    <n v="1043244.31"/>
    <n v="11600046.24"/>
    <d v="2027-12-13T00:00:00"/>
    <x v="0"/>
    <x v="1"/>
    <x v="0"/>
  </r>
  <r>
    <x v="10"/>
    <n v="38"/>
    <n v="7975307.0810910743"/>
    <n v="6071712.562374847"/>
    <n v="728605.50748498167"/>
    <n v="14775625.150950903"/>
    <d v="2027-12-17T00:00:00"/>
    <x v="3"/>
    <x v="1"/>
    <x v="0"/>
  </r>
  <r>
    <x v="11"/>
    <n v="38"/>
    <n v="2083333.33"/>
    <n v="1260273.97"/>
    <n v="151232.87999999989"/>
    <n v="3494840.18"/>
    <d v="2027-12-17T00:00:00"/>
    <x v="1"/>
    <x v="1"/>
    <x v="0"/>
  </r>
  <r>
    <x v="18"/>
    <n v="36"/>
    <n v="5012139.09"/>
    <n v="5009448.1399999997"/>
    <n v="601133.77"/>
    <n v="10622721"/>
    <d v="2027-12-17T00:00:00"/>
    <x v="4"/>
    <x v="1"/>
    <x v="0"/>
  </r>
  <r>
    <x v="12"/>
    <n v="36"/>
    <n v="2592485.73"/>
    <n v="2591093.87"/>
    <n v="310931.27"/>
    <n v="5494510.8700000001"/>
    <d v="2027-12-17T00:00:00"/>
    <x v="4"/>
    <x v="1"/>
    <x v="0"/>
  </r>
  <r>
    <x v="14"/>
    <n v="33"/>
    <n v="20277868.113312628"/>
    <n v="2517365.9813527321"/>
    <n v="302083.91776232782"/>
    <n v="23097318.012427688"/>
    <d v="2027-12-17T00:00:00"/>
    <x v="0"/>
    <x v="1"/>
    <x v="0"/>
  </r>
  <r>
    <x v="15"/>
    <n v="29"/>
    <n v="2005812.55"/>
    <n v="3768697.02"/>
    <n v="452620.52"/>
    <n v="6227130.0899999999"/>
    <d v="2027-12-17T00:00:00"/>
    <x v="0"/>
    <x v="1"/>
    <x v="0"/>
  </r>
  <r>
    <x v="16"/>
    <n v="42"/>
    <n v="8958333.3300000001"/>
    <n v="3730593.61"/>
    <n v="447671.23000000045"/>
    <n v="13136598.17"/>
    <d v="2027-12-18T00:00:00"/>
    <x v="1"/>
    <x v="1"/>
    <x v="0"/>
  </r>
  <r>
    <x v="0"/>
    <n v="41"/>
    <n v="1105668.24"/>
    <n v="3483756.01"/>
    <n v="418050.72"/>
    <n v="5007474.97"/>
    <d v="2027-12-19T00:00:00"/>
    <x v="0"/>
    <x v="1"/>
    <x v="0"/>
  </r>
  <r>
    <x v="17"/>
    <n v="40"/>
    <n v="4146255.96"/>
    <n v="13064085"/>
    <n v="1567690.21"/>
    <n v="18778031.170000002"/>
    <d v="2027-12-19T00:00:00"/>
    <x v="0"/>
    <x v="1"/>
    <x v="0"/>
  </r>
  <r>
    <x v="19"/>
    <n v="36"/>
    <n v="1745021.66"/>
    <n v="3161295.63"/>
    <n v="379355.47"/>
    <n v="5285672.76"/>
    <d v="2027-12-26T00:00:00"/>
    <x v="5"/>
    <x v="1"/>
    <x v="0"/>
  </r>
  <r>
    <x v="20"/>
    <n v="42"/>
    <n v="4240894.7407180062"/>
    <n v="4212289.0275414204"/>
    <n v="505474.68330497044"/>
    <n v="8958658.4515643977"/>
    <d v="2027-12-27T00:00:00"/>
    <x v="5"/>
    <x v="1"/>
    <x v="0"/>
  </r>
  <r>
    <x v="21"/>
    <n v="45"/>
    <n v="2500000"/>
    <n v="254794.51"/>
    <n v="30575.341199999999"/>
    <n v="2785369.8511999999"/>
    <d v="2027-12-27T00:00:00"/>
    <x v="6"/>
    <x v="1"/>
    <x v="0"/>
  </r>
  <r>
    <x v="13"/>
    <n v="39"/>
    <n v="4240174.26"/>
    <n v="3535195.14"/>
    <n v="424223.41999999993"/>
    <n v="8199592.8200000003"/>
    <d v="2027-12-27T00:00:00"/>
    <x v="4"/>
    <x v="1"/>
    <x v="0"/>
  </r>
  <r>
    <x v="23"/>
    <n v="28"/>
    <n v="2965769.69"/>
    <n v="4294250.53"/>
    <n v="515310.07"/>
    <n v="7775330.29"/>
    <d v="2027-04-27T00:00:00"/>
    <x v="7"/>
    <x v="1"/>
    <x v="0"/>
  </r>
  <r>
    <x v="1"/>
    <n v="64"/>
    <n v="1043983.5832532325"/>
    <n v="318178.20053355332"/>
    <n v="38181.384064026395"/>
    <n v="1400343.1678508122"/>
    <d v="2027-12-31T00:00:00"/>
    <x v="0"/>
    <x v="1"/>
    <x v="0"/>
  </r>
  <r>
    <x v="2"/>
    <n v="42"/>
    <n v="7916666.6699999999"/>
    <n v="3296803.65"/>
    <n v="395616.4299999997"/>
    <n v="11609086.75"/>
    <d v="2028-01-02T00:00:00"/>
    <x v="1"/>
    <x v="1"/>
    <x v="0"/>
  </r>
  <r>
    <x v="3"/>
    <n v="53"/>
    <n v="1512640.970503296"/>
    <n v="1219356.880343952"/>
    <n v="146322.82564127425"/>
    <n v="2878320.6764885224"/>
    <d v="2028-01-02T00:00:00"/>
    <x v="0"/>
    <x v="1"/>
    <x v="0"/>
  </r>
  <r>
    <x v="4"/>
    <n v="38"/>
    <n v="14166666.67"/>
    <n v="8284200.9100000001"/>
    <n v="994104.11000000127"/>
    <n v="23444971.690000001"/>
    <d v="2028-01-04T00:00:00"/>
    <x v="1"/>
    <x v="1"/>
    <x v="0"/>
  </r>
  <r>
    <x v="5"/>
    <n v="35"/>
    <n v="21357379.649999999"/>
    <n v="1264517.58"/>
    <n v="151742.10999999999"/>
    <n v="22773639.339999996"/>
    <d v="2028-01-07T00:00:00"/>
    <x v="0"/>
    <x v="1"/>
    <x v="0"/>
  </r>
  <r>
    <x v="7"/>
    <n v="61"/>
    <n v="1251072.7023447989"/>
    <n v="532657.82325937378"/>
    <n v="55929.071442234243"/>
    <n v="1839659.5970464069"/>
    <d v="2028-01-12T00:00:00"/>
    <x v="0"/>
    <x v="1"/>
    <x v="0"/>
  </r>
  <r>
    <x v="8"/>
    <n v="30"/>
    <n v="1929042.42"/>
    <n v="8627759.5099999998"/>
    <n v="1036193.92"/>
    <n v="11592995.85"/>
    <d v="2028-01-13T00:00:00"/>
    <x v="0"/>
    <x v="1"/>
    <x v="0"/>
  </r>
  <r>
    <x v="10"/>
    <n v="39"/>
    <n v="8174025.149194927"/>
    <n v="5872994.4942709943"/>
    <n v="704759.3393125193"/>
    <n v="14751778.982778441"/>
    <d v="2028-01-17T00:00:00"/>
    <x v="3"/>
    <x v="1"/>
    <x v="0"/>
  </r>
  <r>
    <x v="11"/>
    <n v="39"/>
    <n v="2083333.33"/>
    <n v="1245662.1000000001"/>
    <n v="149479.44999999972"/>
    <n v="3478474.88"/>
    <d v="2028-01-17T00:00:00"/>
    <x v="1"/>
    <x v="1"/>
    <x v="0"/>
  </r>
  <r>
    <x v="18"/>
    <n v="37"/>
    <n v="5152203.32"/>
    <n v="4869383.91"/>
    <n v="584326.06999999995"/>
    <n v="10605913.300000001"/>
    <d v="2028-01-17T00:00:00"/>
    <x v="4"/>
    <x v="1"/>
    <x v="0"/>
  </r>
  <r>
    <x v="12"/>
    <n v="37"/>
    <n v="2664932.75"/>
    <n v="2518646.85"/>
    <n v="302237.62"/>
    <n v="5485817.2199999997"/>
    <d v="2028-01-17T00:00:00"/>
    <x v="4"/>
    <x v="1"/>
    <x v="0"/>
  </r>
  <r>
    <x v="14"/>
    <n v="34"/>
    <n v="20879867.322926596"/>
    <n v="1915366.7717387634"/>
    <n v="229844.01260865162"/>
    <n v="23025078.107274011"/>
    <d v="2028-01-17T00:00:00"/>
    <x v="0"/>
    <x v="1"/>
    <x v="0"/>
  </r>
  <r>
    <x v="15"/>
    <n v="30"/>
    <n v="2073199.61"/>
    <n v="3701309.96"/>
    <n v="444527.33"/>
    <n v="6219036.9000000004"/>
    <d v="2028-01-17T00:00:00"/>
    <x v="0"/>
    <x v="1"/>
    <x v="0"/>
  </r>
  <r>
    <x v="16"/>
    <n v="43"/>
    <n v="8958333.3300000001"/>
    <n v="3202910.96"/>
    <n v="384349.31000000052"/>
    <n v="12545593.6"/>
    <d v="2028-01-18T00:00:00"/>
    <x v="1"/>
    <x v="1"/>
    <x v="0"/>
  </r>
  <r>
    <x v="19"/>
    <n v="1"/>
    <n v="656317.29"/>
    <n v="4250000"/>
    <n v="510000"/>
    <n v="5416317.29"/>
    <d v="2025-01-26T00:00:00"/>
    <x v="5"/>
    <x v="0"/>
    <x v="0"/>
  </r>
  <r>
    <x v="19"/>
    <n v="2"/>
    <n v="674912.95"/>
    <n v="4231404.34"/>
    <n v="507768.51"/>
    <n v="5414085.7999999998"/>
    <d v="2025-02-26T00:00:00"/>
    <x v="5"/>
    <x v="0"/>
    <x v="0"/>
  </r>
  <r>
    <x v="19"/>
    <n v="3"/>
    <n v="694035.48"/>
    <n v="4212281.8099999996"/>
    <n v="505473.81"/>
    <n v="5411791.0999999996"/>
    <d v="2025-03-26T00:00:00"/>
    <x v="5"/>
    <x v="0"/>
    <x v="0"/>
  </r>
  <r>
    <x v="19"/>
    <n v="4"/>
    <n v="713699.82"/>
    <n v="4192617.47"/>
    <n v="503114.09"/>
    <n v="5409431.3799999999"/>
    <d v="2025-04-26T00:00:00"/>
    <x v="5"/>
    <x v="0"/>
    <x v="0"/>
  </r>
  <r>
    <x v="19"/>
    <n v="5"/>
    <n v="733921.31"/>
    <n v="4172395.98"/>
    <n v="500687.5"/>
    <n v="5407004.79"/>
    <d v="2025-05-26T00:00:00"/>
    <x v="5"/>
    <x v="0"/>
    <x v="0"/>
  </r>
  <r>
    <x v="19"/>
    <n v="6"/>
    <n v="754715.75"/>
    <n v="4151601.54"/>
    <n v="498192.18"/>
    <n v="5404509.4699999997"/>
    <d v="2025-06-26T00:00:00"/>
    <x v="5"/>
    <x v="0"/>
    <x v="0"/>
  </r>
  <r>
    <x v="19"/>
    <n v="7"/>
    <n v="776099.36"/>
    <n v="4130217.93"/>
    <n v="495626.14"/>
    <n v="5401943.4299999997"/>
    <d v="2025-07-26T00:00:00"/>
    <x v="5"/>
    <x v="0"/>
    <x v="0"/>
  </r>
  <r>
    <x v="19"/>
    <n v="8"/>
    <n v="798088.85"/>
    <n v="4108228.44"/>
    <n v="492987.4"/>
    <n v="5399304.6900000004"/>
    <d v="2025-08-26T00:00:00"/>
    <x v="5"/>
    <x v="0"/>
    <x v="0"/>
  </r>
  <r>
    <x v="0"/>
    <n v="42"/>
    <n v="1142018.98"/>
    <n v="3447405.27"/>
    <n v="413688.63"/>
    <n v="5003112.88"/>
    <d v="2028-01-19T00:00:00"/>
    <x v="0"/>
    <x v="1"/>
    <x v="0"/>
  </r>
  <r>
    <x v="17"/>
    <n v="41"/>
    <n v="4282571.22"/>
    <n v="12927769.74"/>
    <n v="1551332.37"/>
    <n v="18761673.329999998"/>
    <d v="2028-01-19T00:00:00"/>
    <x v="0"/>
    <x v="1"/>
    <x v="0"/>
  </r>
  <r>
    <x v="19"/>
    <n v="37"/>
    <n v="1794463.95"/>
    <n v="3111853.34"/>
    <n v="373422.4"/>
    <n v="5279739.6900000004"/>
    <d v="2028-01-26T00:00:00"/>
    <x v="5"/>
    <x v="1"/>
    <x v="0"/>
  </r>
  <r>
    <x v="20"/>
    <n v="43"/>
    <n v="4336314.8723841608"/>
    <n v="4116868.8958752654"/>
    <n v="494024.26750503184"/>
    <n v="8947208.0357644577"/>
    <d v="2028-01-27T00:00:00"/>
    <x v="5"/>
    <x v="1"/>
    <x v="0"/>
  </r>
  <r>
    <x v="21"/>
    <n v="46"/>
    <n v="2500000"/>
    <n v="191095.88250000001"/>
    <n v="22931.5059"/>
    <n v="2714027.3884000001"/>
    <d v="2028-01-27T00:00:00"/>
    <x v="6"/>
    <x v="1"/>
    <x v="0"/>
  </r>
  <r>
    <x v="13"/>
    <n v="40"/>
    <n v="4358665.93"/>
    <n v="3416703.47"/>
    <n v="410004.41000000015"/>
    <n v="8185373.8099999996"/>
    <d v="2028-01-27T00:00:00"/>
    <x v="4"/>
    <x v="1"/>
    <x v="0"/>
  </r>
  <r>
    <x v="23"/>
    <n v="29"/>
    <n v="3047328.35"/>
    <n v="4212691.87"/>
    <n v="505523.03"/>
    <n v="7765543.25"/>
    <d v="2027-05-27T00:00:00"/>
    <x v="7"/>
    <x v="1"/>
    <x v="0"/>
  </r>
  <r>
    <x v="1"/>
    <n v="65"/>
    <n v="1075303.0907508293"/>
    <n v="286858.69303595636"/>
    <n v="34423.04316431476"/>
    <n v="1396584.8269511005"/>
    <d v="2028-01-31T00:00:00"/>
    <x v="0"/>
    <x v="1"/>
    <x v="0"/>
  </r>
  <r>
    <x v="2"/>
    <n v="43"/>
    <n v="7916666.6699999999"/>
    <n v="2928082.19"/>
    <n v="351369.86000000127"/>
    <n v="11196118.720000001"/>
    <d v="2028-02-02T00:00:00"/>
    <x v="1"/>
    <x v="1"/>
    <x v="0"/>
  </r>
  <r>
    <x v="3"/>
    <n v="54"/>
    <n v="1558020.1996183947"/>
    <n v="1173977.6512288533"/>
    <n v="140877.31814746239"/>
    <n v="2872875.1689947103"/>
    <d v="2028-02-02T00:00:00"/>
    <x v="0"/>
    <x v="1"/>
    <x v="0"/>
  </r>
  <r>
    <x v="4"/>
    <n v="39"/>
    <n v="14166666.67"/>
    <n v="8470502.2799999993"/>
    <n v="1016460.2699999996"/>
    <n v="23653629.219999999"/>
    <d v="2028-02-04T00:00:00"/>
    <x v="1"/>
    <x v="1"/>
    <x v="0"/>
  </r>
  <r>
    <x v="5"/>
    <n v="36"/>
    <n v="21980546.969999999"/>
    <n v="641350.19999999995"/>
    <n v="76962.02"/>
    <n v="22698859.189999998"/>
    <d v="2028-02-07T00:00:00"/>
    <x v="0"/>
    <x v="1"/>
    <x v="0"/>
  </r>
  <r>
    <x v="7"/>
    <n v="62"/>
    <n v="1288604.883415143"/>
    <n v="495125.64218902984"/>
    <n v="51988.192429848132"/>
    <n v="1835718.7180340211"/>
    <d v="2028-02-12T00:00:00"/>
    <x v="0"/>
    <x v="1"/>
    <x v="0"/>
  </r>
  <r>
    <x v="8"/>
    <n v="31"/>
    <n v="1989589.25"/>
    <n v="8567212.6799999997"/>
    <n v="1028922.24"/>
    <n v="11585724.17"/>
    <d v="2028-02-13T00:00:00"/>
    <x v="0"/>
    <x v="1"/>
    <x v="0"/>
  </r>
  <r>
    <x v="10"/>
    <n v="40"/>
    <n v="8377694.6091623669"/>
    <n v="5669325.0343035543"/>
    <n v="680319.00411642657"/>
    <n v="14727338.647582348"/>
    <d v="2028-02-17T00:00:00"/>
    <x v="3"/>
    <x v="1"/>
    <x v="0"/>
  </r>
  <r>
    <x v="11"/>
    <n v="40"/>
    <n v="2083333.33"/>
    <n v="1189041.1000000001"/>
    <n v="142684.93999999994"/>
    <n v="3415059.37"/>
    <d v="2028-02-17T00:00:00"/>
    <x v="1"/>
    <x v="1"/>
    <x v="0"/>
  </r>
  <r>
    <x v="18"/>
    <n v="38"/>
    <n v="5296181.6399999997"/>
    <n v="4725405.59"/>
    <n v="567048.67000000004"/>
    <n v="10588635.9"/>
    <d v="2028-02-17T00:00:00"/>
    <x v="4"/>
    <x v="1"/>
    <x v="0"/>
  </r>
  <r>
    <x v="12"/>
    <n v="38"/>
    <n v="2739404.29"/>
    <n v="2444175.31"/>
    <n v="293301.03999999998"/>
    <n v="5476880.6399999997"/>
    <d v="2028-02-17T00:00:00"/>
    <x v="4"/>
    <x v="1"/>
    <x v="0"/>
  </r>
  <r>
    <x v="14"/>
    <n v="35"/>
    <n v="21499738.384075981"/>
    <n v="1295495.71058938"/>
    <n v="155459.48527072559"/>
    <n v="22950693.579936087"/>
    <d v="2028-02-17T00:00:00"/>
    <x v="0"/>
    <x v="1"/>
    <x v="0"/>
  </r>
  <r>
    <x v="15"/>
    <n v="31"/>
    <n v="2142850.59"/>
    <n v="3631658.98"/>
    <n v="436162.24"/>
    <n v="6210671.8099999996"/>
    <d v="2028-02-17T00:00:00"/>
    <x v="0"/>
    <x v="1"/>
    <x v="0"/>
  </r>
  <r>
    <x v="16"/>
    <n v="44"/>
    <n v="8958333.3300000001"/>
    <n v="3233590.18"/>
    <n v="388030.8200000003"/>
    <n v="12579954.33"/>
    <d v="2028-02-18T00:00:00"/>
    <x v="1"/>
    <x v="1"/>
    <x v="0"/>
  </r>
  <r>
    <x v="0"/>
    <n v="43"/>
    <n v="1179564.81"/>
    <n v="3409859.44"/>
    <n v="409183.13"/>
    <n v="4998607.38"/>
    <d v="2028-02-19T00:00:00"/>
    <x v="0"/>
    <x v="1"/>
    <x v="0"/>
  </r>
  <r>
    <x v="17"/>
    <n v="42"/>
    <n v="4423368.08"/>
    <n v="12786972.880000001"/>
    <n v="1534436.74"/>
    <n v="18744777.700000003"/>
    <d v="2028-02-19T00:00:00"/>
    <x v="0"/>
    <x v="1"/>
    <x v="0"/>
  </r>
  <r>
    <x v="19"/>
    <n v="38"/>
    <n v="1845307.09"/>
    <n v="3061010.2"/>
    <n v="367321.22"/>
    <n v="5273638.51"/>
    <d v="2028-02-26T00:00:00"/>
    <x v="5"/>
    <x v="1"/>
    <x v="0"/>
  </r>
  <r>
    <x v="20"/>
    <n v="44"/>
    <n v="4433881.9570128042"/>
    <n v="4019301.8112466219"/>
    <n v="482316.21734959463"/>
    <n v="8935499.985609021"/>
    <d v="2028-02-27T00:00:00"/>
    <x v="5"/>
    <x v="1"/>
    <x v="0"/>
  </r>
  <r>
    <x v="21"/>
    <n v="47"/>
    <n v="2500000"/>
    <n v="127397.255"/>
    <n v="15287.670599999999"/>
    <n v="2642684.9255999997"/>
    <d v="2028-02-27T00:00:00"/>
    <x v="6"/>
    <x v="1"/>
    <x v="0"/>
  </r>
  <r>
    <x v="13"/>
    <n v="41"/>
    <n v="4480468.8499999996"/>
    <n v="3294900.55"/>
    <n v="395388.0700000003"/>
    <n v="8170757.4699999997"/>
    <d v="2028-02-27T00:00:00"/>
    <x v="4"/>
    <x v="1"/>
    <x v="0"/>
  </r>
  <r>
    <x v="23"/>
    <n v="30"/>
    <n v="3131129.88"/>
    <n v="4128890.34"/>
    <n v="495466.85"/>
    <n v="7755487.0700000003"/>
    <d v="2027-06-27T00:00:00"/>
    <x v="7"/>
    <x v="1"/>
    <x v="0"/>
  </r>
  <r>
    <x v="1"/>
    <n v="66"/>
    <n v="1107562.1834733542"/>
    <n v="254599.6003134315"/>
    <n v="30551.95203761178"/>
    <n v="1392713.7358243975"/>
    <d v="2028-02-29T00:00:00"/>
    <x v="0"/>
    <x v="1"/>
    <x v="0"/>
  </r>
  <r>
    <x v="2"/>
    <n v="44"/>
    <n v="7916666.6699999999"/>
    <n v="2673230.59"/>
    <n v="320787.66999999993"/>
    <n v="10910684.93"/>
    <d v="2028-03-02T00:00:00"/>
    <x v="1"/>
    <x v="1"/>
    <x v="0"/>
  </r>
  <r>
    <x v="3"/>
    <n v="55"/>
    <n v="1604760.8056069466"/>
    <n v="1127237.0452403014"/>
    <n v="135268.44542883616"/>
    <n v="2867266.2962760841"/>
    <d v="2028-03-02T00:00:00"/>
    <x v="0"/>
    <x v="1"/>
    <x v="0"/>
  </r>
  <r>
    <x v="4"/>
    <n v="40"/>
    <n v="14166666.67"/>
    <n v="8085479.4500000002"/>
    <n v="970257.52999999933"/>
    <n v="23222403.649999999"/>
    <d v="2028-03-04T00:00:00"/>
    <x v="1"/>
    <x v="1"/>
    <x v="0"/>
  </r>
  <r>
    <x v="7"/>
    <n v="63"/>
    <n v="1327263.0299175973"/>
    <n v="456467.4956865756"/>
    <n v="47929.087047090434"/>
    <n v="1831659.6126512634"/>
    <d v="2028-03-12T00:00:00"/>
    <x v="0"/>
    <x v="1"/>
    <x v="0"/>
  </r>
  <r>
    <x v="8"/>
    <n v="32"/>
    <n v="2052036.46"/>
    <n v="8504765.4700000007"/>
    <n v="1021422.33"/>
    <n v="11578224.26"/>
    <d v="2028-03-13T00:00:00"/>
    <x v="0"/>
    <x v="1"/>
    <x v="0"/>
  </r>
  <r>
    <x v="10"/>
    <n v="41"/>
    <n v="8586438.8331739958"/>
    <n v="5460580.8102919254"/>
    <n v="655269.69723503105"/>
    <n v="14702289.340700952"/>
    <d v="2028-03-17T00:00:00"/>
    <x v="3"/>
    <x v="1"/>
    <x v="0"/>
  </r>
  <r>
    <x v="11"/>
    <n v="41"/>
    <n v="2083333.33"/>
    <n v="1059360.73"/>
    <n v="127123.29000000004"/>
    <n v="3269817.35"/>
    <d v="2028-03-17T00:00:00"/>
    <x v="1"/>
    <x v="1"/>
    <x v="0"/>
  </r>
  <r>
    <x v="18"/>
    <n v="39"/>
    <n v="5444183.4299999997"/>
    <n v="4577403.8"/>
    <n v="549288.46"/>
    <n v="10570875.689999999"/>
    <d v="2028-03-17T00:00:00"/>
    <x v="4"/>
    <x v="1"/>
    <x v="0"/>
  </r>
  <r>
    <x v="12"/>
    <n v="39"/>
    <n v="2815956.94"/>
    <n v="2367622.66"/>
    <n v="284114.71999999997"/>
    <n v="5467694.3200000003"/>
    <d v="2028-03-17T00:00:00"/>
    <x v="4"/>
    <x v="1"/>
    <x v="0"/>
  </r>
  <r>
    <x v="14"/>
    <n v="36"/>
    <n v="22138011.867353234"/>
    <n v="657222.22731212433"/>
    <n v="78866.667277454922"/>
    <n v="22874100.761942815"/>
    <d v="2028-03-17T00:00:00"/>
    <x v="0"/>
    <x v="1"/>
    <x v="0"/>
  </r>
  <r>
    <x v="15"/>
    <n v="32"/>
    <n v="2214841.5699999998"/>
    <n v="3559668"/>
    <n v="427516.13"/>
    <n v="6202025.7000000002"/>
    <d v="2028-03-17T00:00:00"/>
    <x v="0"/>
    <x v="1"/>
    <x v="0"/>
  </r>
  <r>
    <x v="16"/>
    <n v="45"/>
    <n v="8958333.3300000001"/>
    <n v="3043379"/>
    <n v="365205.49000000022"/>
    <n v="12366917.82"/>
    <d v="2028-03-18T00:00:00"/>
    <x v="1"/>
    <x v="1"/>
    <x v="0"/>
  </r>
  <r>
    <x v="0"/>
    <n v="44"/>
    <n v="1218345.02"/>
    <n v="3371079.23"/>
    <n v="404529.51"/>
    <n v="4993953.76"/>
    <d v="2028-03-19T00:00:00"/>
    <x v="0"/>
    <x v="1"/>
    <x v="0"/>
  </r>
  <r>
    <x v="17"/>
    <n v="43"/>
    <n v="4568793.88"/>
    <n v="12641547.08"/>
    <n v="1516985.65"/>
    <n v="18727326.609999999"/>
    <d v="2028-03-19T00:00:00"/>
    <x v="0"/>
    <x v="1"/>
    <x v="0"/>
  </r>
  <r>
    <x v="19"/>
    <n v="39"/>
    <n v="1897590.79"/>
    <n v="3008726.5"/>
    <n v="361047.17"/>
    <n v="5267364.46"/>
    <d v="2028-03-26T00:00:00"/>
    <x v="5"/>
    <x v="1"/>
    <x v="0"/>
  </r>
  <r>
    <x v="20"/>
    <n v="45"/>
    <n v="4533644.3010455929"/>
    <n v="3919539.4672138337"/>
    <n v="470344.73606566002"/>
    <n v="8923528.5043250863"/>
    <d v="2028-03-27T00:00:00"/>
    <x v="5"/>
    <x v="1"/>
    <x v="0"/>
  </r>
  <r>
    <x v="21"/>
    <n v="48"/>
    <n v="2500000"/>
    <n v="63698.627500000002"/>
    <n v="7643.8352999999997"/>
    <n v="2571342.4627999999"/>
    <d v="2028-03-27T00:00:00"/>
    <x v="6"/>
    <x v="1"/>
    <x v="0"/>
  </r>
  <r>
    <x v="13"/>
    <n v="42"/>
    <n v="4605675.55"/>
    <n v="3169693.85"/>
    <n v="380363.26000000071"/>
    <n v="8155732.6600000001"/>
    <d v="2028-03-27T00:00:00"/>
    <x v="4"/>
    <x v="1"/>
    <x v="0"/>
  </r>
  <r>
    <x v="23"/>
    <n v="31"/>
    <n v="3217235.95"/>
    <n v="4042784.27"/>
    <n v="485134.11"/>
    <n v="7745154.3300000001"/>
    <d v="2027-07-27T00:00:00"/>
    <x v="7"/>
    <x v="1"/>
    <x v="0"/>
  </r>
  <r>
    <x v="1"/>
    <n v="67"/>
    <n v="1140789.0489775548"/>
    <n v="221372.7348092309"/>
    <n v="26564.728177107707"/>
    <n v="1388726.5119638934"/>
    <d v="2028-03-31T00:00:00"/>
    <x v="0"/>
    <x v="1"/>
    <x v="0"/>
  </r>
  <r>
    <x v="2"/>
    <n v="45"/>
    <n v="7916666.6699999999"/>
    <n v="2776255.71"/>
    <n v="333150.69000000041"/>
    <n v="11026073.07"/>
    <d v="2028-04-02T00:00:00"/>
    <x v="1"/>
    <x v="1"/>
    <x v="0"/>
  </r>
  <r>
    <x v="3"/>
    <n v="56"/>
    <n v="1652903.6297751549"/>
    <n v="1079094.2210720931"/>
    <n v="129491.30652865117"/>
    <n v="2861489.1573758991"/>
    <d v="2028-04-02T00:00:00"/>
    <x v="0"/>
    <x v="1"/>
    <x v="0"/>
  </r>
  <r>
    <x v="4"/>
    <n v="41"/>
    <n v="14166666.67"/>
    <n v="7203652.9699999997"/>
    <n v="864438.34999999963"/>
    <n v="22234757.989999998"/>
    <d v="2028-04-04T00:00:00"/>
    <x v="1"/>
    <x v="1"/>
    <x v="0"/>
  </r>
  <r>
    <x v="7"/>
    <n v="64"/>
    <n v="1367080.9208151251"/>
    <n v="416649.60478904768"/>
    <n v="43748.208502850008"/>
    <n v="1827478.7341070229"/>
    <d v="2028-04-12T00:00:00"/>
    <x v="0"/>
    <x v="1"/>
    <x v="0"/>
  </r>
  <r>
    <x v="8"/>
    <n v="33"/>
    <n v="2116443.7000000002"/>
    <n v="8440358.2300000004"/>
    <n v="1013687.02"/>
    <n v="11570488.949999999"/>
    <d v="2028-04-13T00:00:00"/>
    <x v="0"/>
    <x v="1"/>
    <x v="0"/>
  </r>
  <r>
    <x v="10"/>
    <n v="42"/>
    <n v="8800384.2674339153"/>
    <n v="5246635.3760320069"/>
    <n v="629596.24512384087"/>
    <n v="14676615.888589762"/>
    <d v="2028-04-17T00:00:00"/>
    <x v="3"/>
    <x v="1"/>
    <x v="0"/>
  </r>
  <r>
    <x v="11"/>
    <n v="42"/>
    <n v="2083333.33"/>
    <n v="1075799.0900000001"/>
    <n v="129095.88999999966"/>
    <n v="3288228.31"/>
    <d v="2028-04-17T00:00:00"/>
    <x v="1"/>
    <x v="1"/>
    <x v="0"/>
  </r>
  <r>
    <x v="18"/>
    <n v="40"/>
    <n v="5596321.1399999997"/>
    <n v="4425266.09"/>
    <n v="531031.93000000005"/>
    <n v="10552619.16"/>
    <d v="2028-04-17T00:00:00"/>
    <x v="4"/>
    <x v="1"/>
    <x v="0"/>
  </r>
  <r>
    <x v="12"/>
    <n v="40"/>
    <n v="2894648.86"/>
    <n v="2288930.7400000002"/>
    <n v="274671.69"/>
    <n v="5458251.29"/>
    <d v="2028-04-17T00:00:00"/>
    <x v="4"/>
    <x v="1"/>
    <x v="0"/>
  </r>
  <r>
    <x v="15"/>
    <n v="33"/>
    <n v="2289251.14"/>
    <n v="3485258.43"/>
    <n v="418579.55"/>
    <n v="6193089.1200000001"/>
    <d v="2028-04-17T00:00:00"/>
    <x v="0"/>
    <x v="1"/>
    <x v="0"/>
  </r>
  <r>
    <x v="16"/>
    <n v="46"/>
    <n v="8958333.3300000001"/>
    <n v="2669092.4700000002"/>
    <n v="320291.09999999963"/>
    <n v="11947716.9"/>
    <d v="2028-04-18T00:00:00"/>
    <x v="1"/>
    <x v="1"/>
    <x v="0"/>
  </r>
  <r>
    <x v="0"/>
    <n v="45"/>
    <n v="1258400.2"/>
    <n v="3331024.05"/>
    <n v="399722.89"/>
    <n v="4989147.1399999997"/>
    <d v="2028-04-19T00:00:00"/>
    <x v="0"/>
    <x v="1"/>
    <x v="0"/>
  </r>
  <r>
    <x v="17"/>
    <n v="44"/>
    <n v="4719000.8"/>
    <n v="12491340.16"/>
    <n v="1498960.82"/>
    <n v="18709301.780000001"/>
    <d v="2028-04-19T00:00:00"/>
    <x v="0"/>
    <x v="1"/>
    <x v="0"/>
  </r>
  <r>
    <x v="19"/>
    <n v="40"/>
    <n v="1951355.86"/>
    <n v="2954961.43"/>
    <n v="354595.37"/>
    <n v="5260912.66"/>
    <d v="2028-04-26T00:00:00"/>
    <x v="5"/>
    <x v="1"/>
    <x v="0"/>
  </r>
  <r>
    <x v="20"/>
    <n v="46"/>
    <n v="4635651.2978191189"/>
    <n v="3817532.4704403076"/>
    <n v="458103.89645283693"/>
    <n v="8911287.6647122633"/>
    <d v="2028-04-27T00:00:00"/>
    <x v="5"/>
    <x v="1"/>
    <x v="0"/>
  </r>
  <r>
    <x v="23"/>
    <n v="32"/>
    <n v="3305709.94"/>
    <n v="3954310.28"/>
    <n v="474517.23"/>
    <n v="7734537.4500000002"/>
    <d v="2027-08-27T00:00:00"/>
    <x v="7"/>
    <x v="1"/>
    <x v="0"/>
  </r>
  <r>
    <x v="23"/>
    <n v="33"/>
    <n v="3396616.97"/>
    <n v="3863403.25"/>
    <n v="463608.39"/>
    <n v="7723628.6100000003"/>
    <d v="2027-09-27T00:00:00"/>
    <x v="7"/>
    <x v="1"/>
    <x v="0"/>
  </r>
  <r>
    <x v="23"/>
    <n v="34"/>
    <n v="3490023.93"/>
    <n v="3769996.29"/>
    <n v="452399.55"/>
    <n v="7712419.7699999996"/>
    <d v="2027-10-27T00:00:00"/>
    <x v="7"/>
    <x v="1"/>
    <x v="0"/>
  </r>
  <r>
    <x v="23"/>
    <n v="35"/>
    <n v="3585999.59"/>
    <n v="3674020.63"/>
    <n v="440882.48"/>
    <n v="7700902.7000000002"/>
    <d v="2027-11-27T00:00:00"/>
    <x v="7"/>
    <x v="1"/>
    <x v="0"/>
  </r>
  <r>
    <x v="23"/>
    <n v="36"/>
    <n v="3684614.58"/>
    <n v="3575405.64"/>
    <n v="429048.67"/>
    <n v="7689068.8899999997"/>
    <d v="2027-12-27T00:00:00"/>
    <x v="7"/>
    <x v="1"/>
    <x v="0"/>
  </r>
  <r>
    <x v="23"/>
    <n v="37"/>
    <n v="3785941.48"/>
    <n v="3474078.74"/>
    <n v="416889.45"/>
    <n v="7676909.6699999999"/>
    <d v="2028-01-27T00:00:00"/>
    <x v="7"/>
    <x v="1"/>
    <x v="0"/>
  </r>
  <r>
    <x v="23"/>
    <n v="38"/>
    <n v="3890054.87"/>
    <n v="3369965.35"/>
    <n v="404395.84"/>
    <n v="7664416.0599999996"/>
    <d v="2028-02-27T00:00:00"/>
    <x v="7"/>
    <x v="1"/>
    <x v="0"/>
  </r>
  <r>
    <x v="23"/>
    <n v="39"/>
    <n v="3997031.38"/>
    <n v="3262988.84"/>
    <n v="391558.66"/>
    <n v="7651578.8799999999"/>
    <d v="2028-03-27T00:00:00"/>
    <x v="7"/>
    <x v="1"/>
    <x v="0"/>
  </r>
  <r>
    <x v="13"/>
    <n v="43"/>
    <n v="4734381.1500000004"/>
    <n v="3040988.25"/>
    <n v="364918.58999999985"/>
    <n v="8140287.9900000002"/>
    <d v="2028-04-27T00:00:00"/>
    <x v="4"/>
    <x v="1"/>
    <x v="0"/>
  </r>
  <r>
    <x v="23"/>
    <n v="40"/>
    <n v="4106949.74"/>
    <n v="3153070.48"/>
    <n v="378368.46"/>
    <n v="7638388.6799999997"/>
    <d v="2028-04-27T00:00:00"/>
    <x v="7"/>
    <x v="1"/>
    <x v="0"/>
  </r>
  <r>
    <x v="1"/>
    <n v="68"/>
    <n v="1175012.7204468816"/>
    <n v="187149.06333990424"/>
    <n v="22457.887600788508"/>
    <n v="1384619.6713875744"/>
    <d v="2028-04-30T00:00:00"/>
    <x v="0"/>
    <x v="1"/>
    <x v="0"/>
  </r>
  <r>
    <x v="2"/>
    <n v="46"/>
    <n v="7916666.6699999999"/>
    <n v="2358732.87"/>
    <n v="283047.94000000041"/>
    <n v="10558447.48"/>
    <d v="2028-05-02T00:00:00"/>
    <x v="1"/>
    <x v="1"/>
    <x v="0"/>
  </r>
  <r>
    <x v="3"/>
    <n v="57"/>
    <n v="1702490.7386684094"/>
    <n v="1029507.1121788386"/>
    <n v="123540.85346146063"/>
    <n v="2855538.7043087087"/>
    <d v="2028-05-02T00:00:00"/>
    <x v="0"/>
    <x v="1"/>
    <x v="0"/>
  </r>
  <r>
    <x v="4"/>
    <n v="42"/>
    <n v="14166666.67"/>
    <n v="7079452.0499999998"/>
    <n v="849534.24999999814"/>
    <n v="22095652.969999999"/>
    <d v="2028-05-04T00:00:00"/>
    <x v="1"/>
    <x v="1"/>
    <x v="0"/>
  </r>
  <r>
    <x v="7"/>
    <n v="65"/>
    <n v="1408093.3484395789"/>
    <n v="375637.17716459389"/>
    <n v="39441.903602282357"/>
    <n v="1823172.4292064551"/>
    <d v="2028-05-12T00:00:00"/>
    <x v="0"/>
    <x v="1"/>
    <x v="0"/>
  </r>
  <r>
    <x v="8"/>
    <n v="34"/>
    <n v="2182872.48"/>
    <n v="8373929.4500000002"/>
    <n v="1005708.92"/>
    <n v="11562510.85"/>
    <d v="2028-05-13T00:00:00"/>
    <x v="0"/>
    <x v="1"/>
    <x v="0"/>
  </r>
  <r>
    <x v="10"/>
    <n v="43"/>
    <n v="9019660.508764144"/>
    <n v="5027359.1347017782"/>
    <n v="603283.09616421338"/>
    <n v="14650302.739630135"/>
    <d v="2028-05-17T00:00:00"/>
    <x v="3"/>
    <x v="1"/>
    <x v="0"/>
  </r>
  <r>
    <x v="11"/>
    <n v="43"/>
    <n v="2083333.33"/>
    <n v="986301.37"/>
    <n v="118356.15999999968"/>
    <n v="3187990.86"/>
    <d v="2028-05-17T00:00:00"/>
    <x v="1"/>
    <x v="1"/>
    <x v="0"/>
  </r>
  <r>
    <x v="18"/>
    <n v="41"/>
    <n v="5752710.3300000001"/>
    <n v="4268876.9000000004"/>
    <n v="512265.22"/>
    <n v="10533852.449999999"/>
    <d v="2028-05-17T00:00:00"/>
    <x v="4"/>
    <x v="1"/>
    <x v="0"/>
  </r>
  <r>
    <x v="12"/>
    <n v="41"/>
    <n v="2975539.82"/>
    <n v="2208039.7799999998"/>
    <n v="264964.78000000003"/>
    <n v="5448544.3799999999"/>
    <d v="2028-05-17T00:00:00"/>
    <x v="4"/>
    <x v="1"/>
    <x v="0"/>
  </r>
  <r>
    <x v="15"/>
    <n v="34"/>
    <n v="2366160.5699999998"/>
    <n v="3408349"/>
    <n v="409342.71"/>
    <n v="6183852.2800000003"/>
    <d v="2028-05-17T00:00:00"/>
    <x v="0"/>
    <x v="1"/>
    <x v="0"/>
  </r>
  <r>
    <x v="16"/>
    <n v="47"/>
    <n v="8958333.3300000001"/>
    <n v="2577054.7999999998"/>
    <n v="309246.56999999844"/>
    <n v="11844634.699999999"/>
    <d v="2028-05-18T00:00:00"/>
    <x v="1"/>
    <x v="1"/>
    <x v="0"/>
  </r>
  <r>
    <x v="0"/>
    <n v="46"/>
    <n v="1299772.26"/>
    <n v="3289651.99"/>
    <n v="394758.24"/>
    <n v="4984182.49"/>
    <d v="2028-05-19T00:00:00"/>
    <x v="0"/>
    <x v="1"/>
    <x v="0"/>
  </r>
  <r>
    <x v="17"/>
    <n v="45"/>
    <n v="4874146.03"/>
    <n v="12336194.93"/>
    <n v="1480343.99"/>
    <n v="18690684.949999999"/>
    <d v="2028-05-19T00:00:00"/>
    <x v="0"/>
    <x v="1"/>
    <x v="0"/>
  </r>
  <r>
    <x v="19"/>
    <n v="41"/>
    <n v="2006644.28"/>
    <n v="2899673.01"/>
    <n v="347960.75"/>
    <n v="5254278.04"/>
    <d v="2028-05-26T00:00:00"/>
    <x v="5"/>
    <x v="1"/>
    <x v="0"/>
  </r>
  <r>
    <x v="20"/>
    <n v="47"/>
    <n v="4739953.4520200491"/>
    <n v="3713230.3162393779"/>
    <n v="445587.63794872537"/>
    <n v="8898771.406208152"/>
    <d v="2028-05-27T00:00:00"/>
    <x v="5"/>
    <x v="1"/>
    <x v="0"/>
  </r>
  <r>
    <x v="13"/>
    <n v="44"/>
    <n v="4866683.43"/>
    <n v="2908685.97"/>
    <n v="349042.3200000003"/>
    <n v="8124411.7199999997"/>
    <d v="2028-05-27T00:00:00"/>
    <x v="4"/>
    <x v="1"/>
    <x v="0"/>
  </r>
  <r>
    <x v="23"/>
    <n v="41"/>
    <n v="4219890.8600000003"/>
    <n v="3040129.36"/>
    <n v="364815.52"/>
    <n v="7624835.7400000002"/>
    <d v="2028-05-27T00:00:00"/>
    <x v="7"/>
    <x v="1"/>
    <x v="0"/>
  </r>
  <r>
    <x v="1"/>
    <n v="69"/>
    <n v="1210263.102060288"/>
    <n v="151898.68172649777"/>
    <n v="18227.841807179731"/>
    <n v="1380389.6255939654"/>
    <d v="2028-05-31T00:00:00"/>
    <x v="0"/>
    <x v="1"/>
    <x v="0"/>
  </r>
  <r>
    <x v="2"/>
    <n v="47"/>
    <n v="7916666.6699999999"/>
    <n v="2353310.5"/>
    <n v="282397.25999999978"/>
    <n v="10552374.43"/>
    <d v="2028-06-02T00:00:00"/>
    <x v="1"/>
    <x v="1"/>
    <x v="0"/>
  </r>
  <r>
    <x v="3"/>
    <n v="58"/>
    <n v="1753565.4608284617"/>
    <n v="978432.3900187863"/>
    <n v="117411.88680225436"/>
    <n v="2849409.7376495022"/>
    <d v="2028-06-02T00:00:00"/>
    <x v="0"/>
    <x v="1"/>
    <x v="0"/>
  </r>
  <r>
    <x v="4"/>
    <n v="43"/>
    <n v="14166666.67"/>
    <n v="7153972.5999999996"/>
    <n v="858476.71000000089"/>
    <n v="22179115.98"/>
    <d v="2028-06-04T00:00:00"/>
    <x v="1"/>
    <x v="1"/>
    <x v="0"/>
  </r>
  <r>
    <x v="7"/>
    <n v="66"/>
    <n v="1450336.1488927663"/>
    <n v="333394.37671140657"/>
    <n v="35006.40955469769"/>
    <n v="1818736.9351588706"/>
    <d v="2028-06-12T00:00:00"/>
    <x v="0"/>
    <x v="1"/>
    <x v="0"/>
  </r>
  <r>
    <x v="8"/>
    <n v="35"/>
    <n v="2251386.27"/>
    <n v="8305415.6600000001"/>
    <n v="997480.41"/>
    <n v="11554282.34"/>
    <d v="2028-06-13T00:00:00"/>
    <x v="0"/>
    <x v="1"/>
    <x v="0"/>
  </r>
  <r>
    <x v="10"/>
    <n v="44"/>
    <n v="9244400.3831075169"/>
    <n v="4802619.2603584053"/>
    <n v="576314.31124300859"/>
    <n v="14623333.95470893"/>
    <d v="2028-06-17T00:00:00"/>
    <x v="3"/>
    <x v="1"/>
    <x v="0"/>
  </r>
  <r>
    <x v="11"/>
    <n v="44"/>
    <n v="2083333.33"/>
    <n v="1024657.54"/>
    <n v="122958.89999999991"/>
    <n v="3230949.77"/>
    <d v="2028-06-17T00:00:00"/>
    <x v="1"/>
    <x v="1"/>
    <x v="0"/>
  </r>
  <r>
    <x v="18"/>
    <n v="42"/>
    <n v="5913469.8300000001"/>
    <n v="4108117.4"/>
    <n v="492974.09"/>
    <n v="10514561.32"/>
    <d v="2028-06-17T00:00:00"/>
    <x v="4"/>
    <x v="1"/>
    <x v="0"/>
  </r>
  <r>
    <x v="12"/>
    <n v="42"/>
    <n v="3058691.28"/>
    <n v="2124888.3199999998"/>
    <n v="254986.59"/>
    <n v="5438566.1900000004"/>
    <d v="2028-06-17T00:00:00"/>
    <x v="4"/>
    <x v="1"/>
    <x v="0"/>
  </r>
  <r>
    <x v="15"/>
    <n v="35"/>
    <n v="2445653.84"/>
    <n v="3328855.73"/>
    <n v="399795.58"/>
    <n v="6174305.1500000004"/>
    <d v="2028-06-17T00:00:00"/>
    <x v="0"/>
    <x v="1"/>
    <x v="0"/>
  </r>
  <r>
    <x v="16"/>
    <n v="48"/>
    <n v="8958333.3300000001"/>
    <n v="2552511.42"/>
    <n v="306301.36999999918"/>
    <n v="11817146.119999999"/>
    <d v="2028-06-18T00:00:00"/>
    <x v="1"/>
    <x v="1"/>
    <x v="0"/>
  </r>
  <r>
    <x v="0"/>
    <n v="47"/>
    <n v="1342504.5"/>
    <n v="3246919.75"/>
    <n v="389630.37"/>
    <n v="4979054.62"/>
    <d v="2028-06-19T00:00:00"/>
    <x v="0"/>
    <x v="1"/>
    <x v="0"/>
  </r>
  <r>
    <x v="17"/>
    <n v="46"/>
    <n v="5034391.93"/>
    <n v="12175949.029999999"/>
    <n v="1461113.89"/>
    <n v="18671454.850000001"/>
    <d v="2028-06-19T00:00:00"/>
    <x v="0"/>
    <x v="1"/>
    <x v="0"/>
  </r>
  <r>
    <x v="19"/>
    <n v="42"/>
    <n v="2063499.2"/>
    <n v="2842818.09"/>
    <n v="341138.16"/>
    <n v="5247455.45"/>
    <d v="2028-06-26T00:00:00"/>
    <x v="5"/>
    <x v="1"/>
    <x v="0"/>
  </r>
  <r>
    <x v="20"/>
    <n v="48"/>
    <n v="4846602.4046905003"/>
    <n v="3606581.3635689267"/>
    <n v="432789.76362827118"/>
    <n v="8885973.5318876989"/>
    <d v="2028-06-27T00:00:00"/>
    <x v="5"/>
    <x v="1"/>
    <x v="0"/>
  </r>
  <r>
    <x v="13"/>
    <n v="45"/>
    <n v="5002682.9000000004"/>
    <n v="2772686.5"/>
    <n v="332722.37999999989"/>
    <n v="8108091.7800000003"/>
    <d v="2028-06-27T00:00:00"/>
    <x v="4"/>
    <x v="1"/>
    <x v="0"/>
  </r>
  <r>
    <x v="23"/>
    <n v="42"/>
    <n v="4335937.8600000003"/>
    <n v="2924082.36"/>
    <n v="350889.89"/>
    <n v="7610910.1100000003"/>
    <d v="2028-06-27T00:00:00"/>
    <x v="7"/>
    <x v="1"/>
    <x v="0"/>
  </r>
  <r>
    <x v="1"/>
    <n v="70"/>
    <n v="1246570.9951220967"/>
    <n v="115590.78866468914"/>
    <n v="13870.894639762697"/>
    <n v="1376032.6784265484"/>
    <d v="2028-06-30T00:00:00"/>
    <x v="0"/>
    <x v="1"/>
    <x v="0"/>
  </r>
  <r>
    <x v="2"/>
    <n v="48"/>
    <n v="7916666.6699999999"/>
    <n v="2185216.89"/>
    <n v="262226.01999999955"/>
    <n v="10364109.58"/>
    <d v="2028-07-02T00:00:00"/>
    <x v="1"/>
    <x v="1"/>
    <x v="0"/>
  </r>
  <r>
    <x v="3"/>
    <n v="59"/>
    <n v="1806172.4246533155"/>
    <n v="925825.42619393254"/>
    <n v="111099.05114327191"/>
    <n v="2843096.9019905198"/>
    <d v="2028-07-02T00:00:00"/>
    <x v="0"/>
    <x v="1"/>
    <x v="0"/>
  </r>
  <r>
    <x v="4"/>
    <n v="44"/>
    <n v="14166666.67"/>
    <n v="6123105.0199999996"/>
    <n v="734772.61000000127"/>
    <n v="21024544.300000001"/>
    <d v="2028-07-04T00:00:00"/>
    <x v="1"/>
    <x v="1"/>
    <x v="0"/>
  </r>
  <r>
    <x v="7"/>
    <n v="67"/>
    <n v="1493846.2333595492"/>
    <n v="289884.29224462359"/>
    <n v="30437.850685685476"/>
    <n v="1814168.3762898582"/>
    <d v="2028-07-12T00:00:00"/>
    <x v="0"/>
    <x v="1"/>
    <x v="0"/>
  </r>
  <r>
    <x v="8"/>
    <n v="36"/>
    <n v="2322050.5"/>
    <n v="8234751.4299999997"/>
    <n v="988993.65"/>
    <n v="11545795.58"/>
    <d v="2028-07-13T00:00:00"/>
    <x v="0"/>
    <x v="1"/>
    <x v="0"/>
  </r>
  <r>
    <x v="10"/>
    <n v="45"/>
    <n v="9474740.0259866118"/>
    <n v="4572279.6174793094"/>
    <n v="548673.55409751716"/>
    <n v="14595693.197563438"/>
    <d v="2028-07-17T00:00:00"/>
    <x v="3"/>
    <x v="1"/>
    <x v="0"/>
  </r>
  <r>
    <x v="11"/>
    <n v="45"/>
    <n v="2083333.33"/>
    <n v="818264.84"/>
    <n v="98191.780000000261"/>
    <n v="2999789.95"/>
    <d v="2028-07-17T00:00:00"/>
    <x v="1"/>
    <x v="1"/>
    <x v="0"/>
  </r>
  <r>
    <x v="18"/>
    <n v="43"/>
    <n v="6078721.7400000002"/>
    <n v="3942865.49"/>
    <n v="473143.86"/>
    <n v="10494731.09"/>
    <d v="2028-07-17T00:00:00"/>
    <x v="4"/>
    <x v="1"/>
    <x v="0"/>
  </r>
  <r>
    <x v="12"/>
    <n v="43"/>
    <n v="3144166.41"/>
    <n v="2039413.19"/>
    <n v="244729.58"/>
    <n v="5428309.1799999997"/>
    <d v="2028-07-17T00:00:00"/>
    <x v="4"/>
    <x v="1"/>
    <x v="0"/>
  </r>
  <r>
    <x v="15"/>
    <n v="36"/>
    <n v="2527817.7599999998"/>
    <n v="3246691.81"/>
    <n v="389927.69"/>
    <n v="6164437.2599999998"/>
    <d v="2028-07-17T00:00:00"/>
    <x v="0"/>
    <x v="1"/>
    <x v="0"/>
  </r>
  <r>
    <x v="16"/>
    <n v="49"/>
    <n v="8958333.3300000001"/>
    <n v="2135273.9700000002"/>
    <n v="256232.87999999896"/>
    <n v="11349840.18"/>
    <d v="2028-07-18T00:00:00"/>
    <x v="1"/>
    <x v="1"/>
    <x v="0"/>
  </r>
  <r>
    <x v="0"/>
    <n v="48"/>
    <n v="1386641.63"/>
    <n v="3202782.62"/>
    <n v="384333.92"/>
    <n v="4973758.17"/>
    <d v="2028-07-19T00:00:00"/>
    <x v="0"/>
    <x v="1"/>
    <x v="0"/>
  </r>
  <r>
    <x v="17"/>
    <n v="47"/>
    <n v="5199906.18"/>
    <n v="12010434.779999999"/>
    <n v="1441252.17"/>
    <n v="18651593.129999999"/>
    <d v="2028-07-19T00:00:00"/>
    <x v="0"/>
    <x v="1"/>
    <x v="0"/>
  </r>
  <r>
    <x v="3"/>
    <n v="1"/>
    <n v="399249.24"/>
    <n v="2044098.11"/>
    <n v="288811.28160000005"/>
    <n v="3020809.1324472479"/>
    <d v="2023-09-02T00:00:00"/>
    <x v="0"/>
    <x v="0"/>
    <x v="0"/>
  </r>
  <r>
    <x v="3"/>
    <n v="2"/>
    <n v="409421.89"/>
    <n v="2033925.6"/>
    <n v="287640.42778494989"/>
    <n v="3019638.278632198"/>
    <d v="2023-10-02T00:00:00"/>
    <x v="0"/>
    <x v="0"/>
    <x v="0"/>
  </r>
  <r>
    <x v="3"/>
    <n v="3"/>
    <n v="419853.73"/>
    <n v="2023493.61"/>
    <n v="286434.44835544832"/>
    <n v="3018432.2992026964"/>
    <d v="2023-11-02T00:00:00"/>
    <x v="0"/>
    <x v="0"/>
    <x v="0"/>
  </r>
  <r>
    <x v="3"/>
    <n v="4"/>
    <n v="430551.34"/>
    <n v="2012796.05"/>
    <n v="285192.28954306163"/>
    <n v="3017190.1403903095"/>
    <d v="2023-12-02T00:00:00"/>
    <x v="0"/>
    <x v="0"/>
    <x v="0"/>
  </r>
  <r>
    <x v="3"/>
    <n v="5"/>
    <n v="441521.58"/>
    <n v="2001825.75"/>
    <n v="283912.86596630339"/>
    <n v="3015910.7168135513"/>
    <d v="2024-01-02T00:00:00"/>
    <x v="0"/>
    <x v="0"/>
    <x v="0"/>
  </r>
  <r>
    <x v="3"/>
    <n v="6"/>
    <n v="452771.29"/>
    <n v="1990771.29"/>
    <n v="282595.0596822424"/>
    <n v="3014592.9105294906"/>
    <d v="2024-02-02T00:00:00"/>
    <x v="0"/>
    <x v="0"/>
    <x v="0"/>
  </r>
  <r>
    <x v="3"/>
    <n v="7"/>
    <n v="464307.66"/>
    <n v="1979039.66"/>
    <n v="281237.71920965955"/>
    <n v="3013235.5700569074"/>
    <d v="2024-03-02T00:00:00"/>
    <x v="0"/>
    <x v="0"/>
    <x v="0"/>
  </r>
  <r>
    <x v="3"/>
    <n v="8"/>
    <n v="476137.95"/>
    <n v="1967209.36"/>
    <n v="279839.65852289926"/>
    <n v="3011837.5093701473"/>
    <d v="2024-04-02T00:00:00"/>
    <x v="0"/>
    <x v="0"/>
    <x v="0"/>
  </r>
  <r>
    <x v="3"/>
    <n v="9"/>
    <n v="488269.68"/>
    <n v="1955077.62"/>
    <n v="278399.65601553611"/>
    <n v="3010397.5068627843"/>
    <d v="2024-05-02T00:00:00"/>
    <x v="0"/>
    <x v="0"/>
    <x v="0"/>
  </r>
  <r>
    <x v="3"/>
    <n v="10"/>
    <n v="500710.51"/>
    <n v="1942636.78"/>
    <n v="276916.45343295217"/>
    <n v="3008914.3042802"/>
    <d v="2024-06-02T00:00:00"/>
    <x v="0"/>
    <x v="0"/>
    <x v="0"/>
  </r>
  <r>
    <x v="3"/>
    <n v="11"/>
    <n v="513468.33"/>
    <n v="1929878.95"/>
    <n v="275388.75477289065"/>
    <n v="3007386.6056201388"/>
    <d v="2024-07-02T00:00:00"/>
    <x v="0"/>
    <x v="0"/>
    <x v="0"/>
  </r>
  <r>
    <x v="3"/>
    <n v="12"/>
    <n v="526551.22"/>
    <n v="1916796.06"/>
    <n v="273815.22515302728"/>
    <n v="3005813.0760002751"/>
    <d v="2024-08-02T00:00:00"/>
    <x v="0"/>
    <x v="0"/>
    <x v="0"/>
  </r>
  <r>
    <x v="3"/>
    <n v="13"/>
    <n v="479353.07"/>
    <n v="2148977.2000000002"/>
    <n v="272194.48964456795"/>
    <n v="3004192.3404918159"/>
    <d v="2024-09-02T00:00:00"/>
    <x v="0"/>
    <x v="0"/>
    <x v="0"/>
  </r>
  <r>
    <x v="3"/>
    <n v="14"/>
    <n v="493142.67"/>
    <n v="2135187.59"/>
    <n v="270525.13207085495"/>
    <n v="3002522.9829181028"/>
    <d v="2024-10-02T00:00:00"/>
    <x v="0"/>
    <x v="0"/>
    <x v="0"/>
  </r>
  <r>
    <x v="3"/>
    <n v="15"/>
    <n v="507328.95"/>
    <n v="2121001.2999999998"/>
    <n v="268805.69376993045"/>
    <n v="3000803.5446171784"/>
    <d v="2024-11-02T00:00:00"/>
    <x v="0"/>
    <x v="0"/>
    <x v="0"/>
  </r>
  <r>
    <x v="3"/>
    <n v="16"/>
    <n v="521923.34"/>
    <n v="2106406.9"/>
    <n v="267034.67231997824"/>
    <n v="2999032.5231672265"/>
    <d v="2024-12-02T00:00:00"/>
    <x v="0"/>
    <x v="0"/>
    <x v="0"/>
  </r>
  <r>
    <x v="3"/>
    <n v="17"/>
    <n v="521910.18229285209"/>
    <n v="2210087.6685543959"/>
    <n v="265210.52022652753"/>
    <n v="2997208.3710737755"/>
    <d v="2025-01-02T00:00:00"/>
    <x v="0"/>
    <x v="0"/>
    <x v="0"/>
  </r>
  <r>
    <x v="3"/>
    <n v="18"/>
    <n v="552383.71"/>
    <n v="2075946.52"/>
    <n v="249113.58239999998"/>
    <n v="2877443.8124000002"/>
    <d v="2025-02-02T00:00:00"/>
    <x v="0"/>
    <x v="0"/>
    <x v="0"/>
  </r>
  <r>
    <x v="3"/>
    <n v="19"/>
    <n v="568274.18999999994"/>
    <n v="2060056.03"/>
    <n v="247206.7236"/>
    <n v="2875536.9435999999"/>
    <d v="2025-03-02T00:00:00"/>
    <x v="0"/>
    <x v="0"/>
    <x v="0"/>
  </r>
  <r>
    <x v="3"/>
    <n v="20"/>
    <n v="570305.34776632115"/>
    <n v="2161692.5030809268"/>
    <n v="259403.10036971123"/>
    <n v="2991400.9512169594"/>
    <d v="2025-04-02T00:00:00"/>
    <x v="0"/>
    <x v="0"/>
    <x v="0"/>
  </r>
  <r>
    <x v="3"/>
    <n v="21"/>
    <n v="587414.50819931086"/>
    <n v="2144583.3426479371"/>
    <n v="257350.00111775246"/>
    <n v="2989347.8519650004"/>
    <d v="2025-05-02T00:00:00"/>
    <x v="0"/>
    <x v="0"/>
    <x v="0"/>
  </r>
  <r>
    <x v="3"/>
    <n v="22"/>
    <n v="605036.94344528997"/>
    <n v="2126960.907401958"/>
    <n v="255235.30888823495"/>
    <n v="2987233.1597354831"/>
    <d v="2025-06-02T00:00:00"/>
    <x v="0"/>
    <x v="0"/>
    <x v="0"/>
  </r>
  <r>
    <x v="3"/>
    <n v="23"/>
    <n v="623188.05174864922"/>
    <n v="2108809.7990985988"/>
    <n v="253057.17589183187"/>
    <n v="2985055.02673908"/>
    <d v="2025-07-02T00:00:00"/>
    <x v="0"/>
    <x v="0"/>
    <x v="0"/>
  </r>
  <r>
    <x v="3"/>
    <n v="24"/>
    <n v="641883.69330110843"/>
    <n v="2090114.1575461396"/>
    <n v="250813.69890553676"/>
    <n v="2982811.5497527849"/>
    <d v="2025-08-02T00:00:00"/>
    <x v="0"/>
    <x v="0"/>
    <x v="0"/>
  </r>
  <r>
    <x v="19"/>
    <n v="43"/>
    <n v="2121965.0099999998"/>
    <n v="2784352.28"/>
    <n v="334122.26"/>
    <n v="5240439.55"/>
    <d v="2028-07-26T00:00:00"/>
    <x v="5"/>
    <x v="1"/>
    <x v="0"/>
  </r>
  <r>
    <x v="20"/>
    <n v="49"/>
    <n v="4955650.9587960364"/>
    <n v="3497532.8094633901"/>
    <n v="419703.93713560683"/>
    <n v="8872887.7053950336"/>
    <d v="2028-07-27T00:00:00"/>
    <x v="5"/>
    <x v="1"/>
    <x v="0"/>
  </r>
  <r>
    <x v="13"/>
    <n v="46"/>
    <n v="5142482.87"/>
    <n v="2632886.5299999998"/>
    <n v="315946.38999999966"/>
    <n v="8091315.79"/>
    <d v="2028-07-27T00:00:00"/>
    <x v="4"/>
    <x v="1"/>
    <x v="0"/>
  </r>
  <r>
    <x v="23"/>
    <n v="43"/>
    <n v="4455176.1500000004"/>
    <n v="2804844.07"/>
    <n v="336581.29"/>
    <n v="7596601.5099999998"/>
    <d v="2028-07-27T00:00:00"/>
    <x v="7"/>
    <x v="1"/>
    <x v="0"/>
  </r>
  <r>
    <x v="1"/>
    <n v="71"/>
    <n v="1283968.1249757595"/>
    <n v="78193.658811026238"/>
    <n v="9383.2390573231478"/>
    <n v="1371545.022844109"/>
    <d v="2028-07-31T00:00:00"/>
    <x v="0"/>
    <x v="1"/>
    <x v="0"/>
  </r>
  <r>
    <x v="2"/>
    <n v="49"/>
    <n v="7916666.6699999999"/>
    <n v="1952054.79"/>
    <n v="234246.56999999937"/>
    <n v="10102968.029999999"/>
    <d v="2028-08-02T00:00:00"/>
    <x v="1"/>
    <x v="1"/>
    <x v="0"/>
  </r>
  <r>
    <x v="3"/>
    <n v="60"/>
    <n v="1860357.5973929148"/>
    <n v="871640.25345433305"/>
    <n v="104596.83041451997"/>
    <n v="2836594.6812617676"/>
    <d v="2028-08-02T00:00:00"/>
    <x v="0"/>
    <x v="1"/>
    <x v="0"/>
  </r>
  <r>
    <x v="4"/>
    <n v="45"/>
    <n v="14166666.67"/>
    <n v="6160365.29"/>
    <n v="739243.84000000171"/>
    <n v="21066275.800000001"/>
    <d v="2028-08-04T00:00:00"/>
    <x v="1"/>
    <x v="1"/>
    <x v="0"/>
  </r>
  <r>
    <x v="7"/>
    <n v="68"/>
    <n v="1538661.6203603358"/>
    <n v="245068.9052438371"/>
    <n v="25732.235050602896"/>
    <n v="1809462.7606547757"/>
    <d v="2028-08-12T00:00:00"/>
    <x v="0"/>
    <x v="1"/>
    <x v="0"/>
  </r>
  <r>
    <x v="8"/>
    <n v="37"/>
    <n v="2394932.67"/>
    <n v="8161869.2599999998"/>
    <n v="980240.5"/>
    <n v="11537042.43"/>
    <d v="2028-08-13T00:00:00"/>
    <x v="0"/>
    <x v="1"/>
    <x v="0"/>
  </r>
  <r>
    <x v="10"/>
    <n v="46"/>
    <n v="9710818.9649674445"/>
    <n v="4336200.6784984767"/>
    <n v="520344.08141981723"/>
    <n v="14567363.724885739"/>
    <d v="2028-08-17T00:00:00"/>
    <x v="3"/>
    <x v="1"/>
    <x v="0"/>
  </r>
  <r>
    <x v="11"/>
    <n v="46"/>
    <n v="2083333.33"/>
    <n v="849315.07"/>
    <n v="101917.81000000006"/>
    <n v="3034566.21"/>
    <d v="2028-08-17T00:00:00"/>
    <x v="1"/>
    <x v="1"/>
    <x v="0"/>
  </r>
  <r>
    <x v="18"/>
    <n v="44"/>
    <n v="6248591.6200000001"/>
    <n v="3772995.61"/>
    <n v="452759.47"/>
    <n v="10474346.699999999"/>
    <d v="2028-08-17T00:00:00"/>
    <x v="4"/>
    <x v="1"/>
    <x v="0"/>
  </r>
  <r>
    <x v="12"/>
    <n v="44"/>
    <n v="3232030.14"/>
    <n v="1951549.46"/>
    <n v="234185.93"/>
    <n v="5417765.5300000003"/>
    <d v="2028-08-17T00:00:00"/>
    <x v="4"/>
    <x v="1"/>
    <x v="0"/>
  </r>
  <r>
    <x v="15"/>
    <n v="37"/>
    <n v="2612742.04"/>
    <n v="3161767.53"/>
    <n v="379728.28"/>
    <n v="6154237.8499999996"/>
    <d v="2028-08-17T00:00:00"/>
    <x v="0"/>
    <x v="1"/>
    <x v="0"/>
  </r>
  <r>
    <x v="16"/>
    <n v="50"/>
    <n v="8958333.3300000001"/>
    <n v="2092323.06"/>
    <n v="251078.76999999955"/>
    <n v="11301735.16"/>
    <d v="2028-08-18T00:00:00"/>
    <x v="1"/>
    <x v="1"/>
    <x v="0"/>
  </r>
  <r>
    <x v="0"/>
    <n v="49"/>
    <n v="1432229.85"/>
    <n v="3157194.4"/>
    <n v="378863.33"/>
    <n v="4968287.58"/>
    <d v="2028-08-19T00:00:00"/>
    <x v="0"/>
    <x v="1"/>
    <x v="0"/>
  </r>
  <r>
    <x v="17"/>
    <n v="48"/>
    <n v="5370862"/>
    <n v="11839478.960000001"/>
    <n v="1420737.47"/>
    <n v="18631078.43"/>
    <d v="2028-08-19T00:00:00"/>
    <x v="0"/>
    <x v="1"/>
    <x v="0"/>
  </r>
  <r>
    <x v="19"/>
    <n v="44"/>
    <n v="2182087.35"/>
    <n v="2724229.94"/>
    <n v="326907.58"/>
    <n v="5233224.87"/>
    <d v="2028-08-26T00:00:00"/>
    <x v="5"/>
    <x v="1"/>
    <x v="0"/>
  </r>
  <r>
    <x v="20"/>
    <n v="50"/>
    <n v="5067153.1053689467"/>
    <n v="3386030.6628904799"/>
    <n v="406323.6795468576"/>
    <n v="8859507.4478062838"/>
    <d v="2028-08-27T00:00:00"/>
    <x v="5"/>
    <x v="1"/>
    <x v="0"/>
  </r>
  <r>
    <x v="13"/>
    <n v="47"/>
    <n v="5286189.5599999996"/>
    <n v="2489179.84"/>
    <n v="298701.58000000101"/>
    <n v="8074070.9800000004"/>
    <d v="2028-08-27T00:00:00"/>
    <x v="4"/>
    <x v="1"/>
    <x v="0"/>
  </r>
  <r>
    <x v="23"/>
    <n v="44"/>
    <n v="4577693.49"/>
    <n v="2682326.73"/>
    <n v="321879.21000000002"/>
    <n v="7581899.4299999997"/>
    <d v="2028-08-27T00:00:00"/>
    <x v="7"/>
    <x v="1"/>
    <x v="0"/>
  </r>
  <r>
    <x v="1"/>
    <n v="72"/>
    <n v="1322487.1687250324"/>
    <n v="39674.615061753459"/>
    <n v="4760.9538074104148"/>
    <n v="1366922.7375941961"/>
    <d v="2028-08-31T00:00:00"/>
    <x v="0"/>
    <x v="1"/>
    <x v="0"/>
  </r>
  <r>
    <x v="2"/>
    <n v="50"/>
    <n v="7916666.6699999999"/>
    <n v="1968321.92"/>
    <n v="236198.63000000082"/>
    <n v="10121187.220000001"/>
    <d v="2028-09-02T00:00:00"/>
    <x v="1"/>
    <x v="1"/>
    <x v="0"/>
  </r>
  <r>
    <x v="3"/>
    <n v="61"/>
    <n v="1916168.3253147025"/>
    <n v="815829.52553254564"/>
    <n v="97899.543063905483"/>
    <n v="2829897.3939111535"/>
    <d v="2028-09-02T00:00:00"/>
    <x v="0"/>
    <x v="1"/>
    <x v="0"/>
  </r>
  <r>
    <x v="4"/>
    <n v="46"/>
    <n v="14166666.67"/>
    <n v="5775342.46"/>
    <n v="693041.09999999963"/>
    <n v="20635050.23"/>
    <d v="2028-09-04T00:00:00"/>
    <x v="1"/>
    <x v="1"/>
    <x v="0"/>
  </r>
  <r>
    <x v="7"/>
    <n v="69"/>
    <n v="1584821.4689711458"/>
    <n v="198909.05663302704"/>
    <n v="20885.450946467838"/>
    <n v="1804615.9765506408"/>
    <d v="2028-09-12T00:00:00"/>
    <x v="0"/>
    <x v="1"/>
    <x v="0"/>
  </r>
  <r>
    <x v="8"/>
    <n v="38"/>
    <n v="2470102.39"/>
    <n v="8086699.54"/>
    <n v="971212.61"/>
    <n v="11528014.539999999"/>
    <d v="2028-09-13T00:00:00"/>
    <x v="0"/>
    <x v="1"/>
    <x v="0"/>
  </r>
  <r>
    <x v="10"/>
    <n v="47"/>
    <n v="9952780.2041778825"/>
    <n v="4094239.4392880383"/>
    <n v="491308.7327145646"/>
    <n v="14538328.376180485"/>
    <d v="2028-09-17T00:00:00"/>
    <x v="3"/>
    <x v="1"/>
    <x v="0"/>
  </r>
  <r>
    <x v="11"/>
    <n v="47"/>
    <n v="2083333.33"/>
    <n v="818264.84"/>
    <n v="98191.780000000261"/>
    <n v="2999789.95"/>
    <d v="2028-09-17T00:00:00"/>
    <x v="1"/>
    <x v="1"/>
    <x v="0"/>
  </r>
  <r>
    <x v="18"/>
    <n v="45"/>
    <n v="6423208.5099999998"/>
    <n v="3598378.72"/>
    <n v="431805.45"/>
    <n v="10453392.68"/>
    <d v="2028-09-17T00:00:00"/>
    <x v="4"/>
    <x v="1"/>
    <x v="0"/>
  </r>
  <r>
    <x v="12"/>
    <n v="45"/>
    <n v="3322349.22"/>
    <n v="1861230.38"/>
    <n v="223347.65"/>
    <n v="5406927.25"/>
    <d v="2028-09-17T00:00:00"/>
    <x v="4"/>
    <x v="1"/>
    <x v="0"/>
  </r>
  <r>
    <x v="15"/>
    <n v="38"/>
    <n v="2700519.44"/>
    <n v="3073990.13"/>
    <n v="369186.21"/>
    <n v="6143695.7800000003"/>
    <d v="2028-09-17T00:00:00"/>
    <x v="0"/>
    <x v="1"/>
    <x v="0"/>
  </r>
  <r>
    <x v="16"/>
    <n v="51"/>
    <n v="8958333.3300000001"/>
    <n v="1902111.87"/>
    <n v="228253.43000000156"/>
    <n v="11088698.630000001"/>
    <d v="2028-09-18T00:00:00"/>
    <x v="1"/>
    <x v="1"/>
    <x v="0"/>
  </r>
  <r>
    <x v="0"/>
    <n v="50"/>
    <n v="1479316.86"/>
    <n v="3110107.39"/>
    <n v="373212.89"/>
    <n v="4962637.1399999997"/>
    <d v="2028-09-19T00:00:00"/>
    <x v="0"/>
    <x v="1"/>
    <x v="0"/>
  </r>
  <r>
    <x v="17"/>
    <n v="49"/>
    <n v="5547438.2800000003"/>
    <n v="11662902.68"/>
    <n v="1399548.32"/>
    <n v="18609889.280000001"/>
    <d v="2028-09-19T00:00:00"/>
    <x v="0"/>
    <x v="1"/>
    <x v="0"/>
  </r>
  <r>
    <x v="19"/>
    <n v="45"/>
    <n v="2243913.16"/>
    <n v="2662404.13"/>
    <n v="319488.49"/>
    <n v="5225805.78"/>
    <d v="2028-09-26T00:00:00"/>
    <x v="5"/>
    <x v="1"/>
    <x v="0"/>
  </r>
  <r>
    <x v="20"/>
    <n v="51"/>
    <n v="5181164.0502397474"/>
    <n v="3272019.7180196787"/>
    <n v="392642.36616236146"/>
    <n v="8845826.1344217882"/>
    <d v="2028-09-27T00:00:00"/>
    <x v="5"/>
    <x v="1"/>
    <x v="0"/>
  </r>
  <r>
    <x v="13"/>
    <n v="48"/>
    <n v="5433912.1200000001"/>
    <n v="2341457.2799999998"/>
    <n v="280974.87000000011"/>
    <n v="8056344.2699999996"/>
    <d v="2028-09-27T00:00:00"/>
    <x v="4"/>
    <x v="1"/>
    <x v="0"/>
  </r>
  <r>
    <x v="23"/>
    <n v="45"/>
    <n v="4703580.07"/>
    <n v="2556440.15"/>
    <n v="306772.82"/>
    <n v="7566793.04"/>
    <d v="2028-09-27T00:00:00"/>
    <x v="7"/>
    <x v="1"/>
    <x v="0"/>
  </r>
  <r>
    <x v="2"/>
    <n v="51"/>
    <n v="7916666.6699999999"/>
    <n v="1518264.84"/>
    <n v="182191.77999999933"/>
    <n v="9617123.2899999991"/>
    <d v="2028-10-02T00:00:00"/>
    <x v="1"/>
    <x v="1"/>
    <x v="0"/>
  </r>
  <r>
    <x v="3"/>
    <n v="62"/>
    <n v="1973653.3750741433"/>
    <n v="758344.4757731047"/>
    <n v="91001.337092772563"/>
    <n v="2822999.1879400206"/>
    <d v="2028-10-02T00:00:00"/>
    <x v="0"/>
    <x v="1"/>
    <x v="0"/>
  </r>
  <r>
    <x v="4"/>
    <n v="47"/>
    <n v="14166666.67"/>
    <n v="5216438.3499999996"/>
    <n v="625972.6099999994"/>
    <n v="20009077.629999999"/>
    <d v="2028-10-04T00:00:00"/>
    <x v="1"/>
    <x v="1"/>
    <x v="0"/>
  </r>
  <r>
    <x v="7"/>
    <n v="70"/>
    <n v="1632366.1130402801"/>
    <n v="151364.41256389266"/>
    <n v="15893.263319208729"/>
    <n v="1799623.7889233814"/>
    <d v="2028-10-12T00:00:00"/>
    <x v="0"/>
    <x v="1"/>
    <x v="0"/>
  </r>
  <r>
    <x v="8"/>
    <n v="39"/>
    <n v="2547631.46"/>
    <n v="8009170.4699999997"/>
    <n v="961901.38"/>
    <n v="11518703.310000001"/>
    <d v="2028-10-13T00:00:00"/>
    <x v="0"/>
    <x v="1"/>
    <x v="0"/>
  </r>
  <r>
    <x v="10"/>
    <n v="48"/>
    <n v="10200770.310931982"/>
    <n v="3846249.3325339393"/>
    <n v="461549.91990407271"/>
    <n v="14508569.563369995"/>
    <d v="2028-10-17T00:00:00"/>
    <x v="3"/>
    <x v="1"/>
    <x v="0"/>
  </r>
  <r>
    <x v="11"/>
    <n v="48"/>
    <n v="2083333.33"/>
    <n v="688584.48"/>
    <n v="82630.14000000013"/>
    <n v="2854547.95"/>
    <d v="2028-10-17T00:00:00"/>
    <x v="1"/>
    <x v="1"/>
    <x v="0"/>
  </r>
  <r>
    <x v="18"/>
    <n v="46"/>
    <n v="6602705.0700000003"/>
    <n v="3418882.16"/>
    <n v="410265.86"/>
    <n v="10431853.09"/>
    <d v="2028-10-17T00:00:00"/>
    <x v="4"/>
    <x v="1"/>
    <x v="0"/>
  </r>
  <r>
    <x v="7"/>
    <n v="1"/>
    <m/>
    <n v="1690501.44"/>
    <n v="188565.85080000001"/>
    <n v="1972296.3764041727"/>
    <d v="2023-01-12T00:00:00"/>
    <x v="0"/>
    <x v="0"/>
    <x v="0"/>
  </r>
  <r>
    <x v="7"/>
    <n v="2"/>
    <m/>
    <n v="1334608.48"/>
    <n v="187801.39643182498"/>
    <n v="1971531.9220359977"/>
    <d v="2023-02-12T00:00:00"/>
    <x v="0"/>
    <x v="0"/>
    <x v="0"/>
  </r>
  <r>
    <x v="7"/>
    <n v="3"/>
    <m/>
    <n v="1334608.48"/>
    <n v="187014.00843260472"/>
    <n v="1970744.5340367774"/>
    <d v="2023-03-12T00:00:00"/>
    <x v="0"/>
    <x v="0"/>
    <x v="0"/>
  </r>
  <r>
    <x v="7"/>
    <n v="4"/>
    <m/>
    <n v="1783730.5256041728"/>
    <n v="186202.99879340784"/>
    <n v="1969933.5243975807"/>
    <d v="2023-04-12T00:00:00"/>
    <x v="0"/>
    <x v="0"/>
    <x v="0"/>
  </r>
  <r>
    <x v="7"/>
    <n v="5"/>
    <m/>
    <n v="1334608.48"/>
    <n v="185367.65886503505"/>
    <n v="1969098.1844692079"/>
    <d v="2023-05-12T00:00:00"/>
    <x v="0"/>
    <x v="0"/>
    <x v="0"/>
  </r>
  <r>
    <x v="7"/>
    <n v="6"/>
    <m/>
    <n v="1334608.48"/>
    <n v="184507.25873881107"/>
    <n v="1968237.784342984"/>
    <d v="2023-06-12T00:00:00"/>
    <x v="0"/>
    <x v="0"/>
    <x v="0"/>
  </r>
  <r>
    <x v="7"/>
    <n v="7"/>
    <m/>
    <n v="1334608.48"/>
    <n v="183621.04660880036"/>
    <n v="1967351.5722129731"/>
    <d v="2023-07-12T00:00:00"/>
    <x v="0"/>
    <x v="0"/>
    <x v="0"/>
  </r>
  <r>
    <x v="7"/>
    <n v="8"/>
    <m/>
    <n v="1334608.48"/>
    <n v="182708.24811488937"/>
    <n v="1966438.7737190621"/>
    <d v="2023-08-12T00:00:00"/>
    <x v="0"/>
    <x v="0"/>
    <x v="0"/>
  </r>
  <r>
    <x v="7"/>
    <n v="9"/>
    <n v="260671.17"/>
    <n v="1334598.48"/>
    <n v="140132.84039999999"/>
    <n v="1735402.4904"/>
    <d v="2023-09-12T00:00:00"/>
    <x v="0"/>
    <x v="0"/>
    <x v="0"/>
  </r>
  <r>
    <x v="7"/>
    <n v="10"/>
    <n v="267312.92"/>
    <n v="1327956.73"/>
    <n v="139435.45665000001"/>
    <n v="1734705.10665"/>
    <d v="2023-10-12T00:00:00"/>
    <x v="0"/>
    <x v="0"/>
    <x v="0"/>
  </r>
  <r>
    <x v="7"/>
    <n v="11"/>
    <n v="274123.90000000002"/>
    <n v="1321145.74"/>
    <n v="138720.3027"/>
    <n v="1733989.9427"/>
    <d v="2023-11-12T00:00:00"/>
    <x v="0"/>
    <x v="0"/>
    <x v="0"/>
  </r>
  <r>
    <x v="7"/>
    <n v="12"/>
    <n v="281108.42"/>
    <n v="1314161.26"/>
    <n v="137986.93229999999"/>
    <n v="1733256.6122999999"/>
    <d v="2023-12-12T00:00:00"/>
    <x v="0"/>
    <x v="0"/>
    <x v="0"/>
  </r>
  <r>
    <x v="7"/>
    <n v="13"/>
    <n v="288270.90999999997"/>
    <n v="1306998.72"/>
    <n v="137234.86559999999"/>
    <n v="1732504.4955999998"/>
    <d v="2024-01-12T00:00:00"/>
    <x v="0"/>
    <x v="0"/>
    <x v="0"/>
  </r>
  <r>
    <x v="7"/>
    <n v="14"/>
    <n v="295615.89"/>
    <n v="1299653.74"/>
    <n v="136463.6427"/>
    <n v="1731733.2726999999"/>
    <d v="2024-02-12T00:00:00"/>
    <x v="0"/>
    <x v="0"/>
    <x v="0"/>
  </r>
  <r>
    <x v="7"/>
    <n v="15"/>
    <n v="303148.01"/>
    <n v="1292121.6100000001"/>
    <n v="135672.76905"/>
    <n v="1730942.3890500001"/>
    <d v="2024-03-12T00:00:00"/>
    <x v="0"/>
    <x v="0"/>
    <x v="0"/>
  </r>
  <r>
    <x v="7"/>
    <n v="16"/>
    <n v="310872.06"/>
    <n v="1284397.56"/>
    <n v="134861.7438"/>
    <n v="1730131.3638000002"/>
    <d v="2024-04-12T00:00:00"/>
    <x v="0"/>
    <x v="0"/>
    <x v="0"/>
  </r>
  <r>
    <x v="7"/>
    <n v="17"/>
    <n v="318792.90000000002"/>
    <n v="1276476.71"/>
    <n v="134030.05455"/>
    <n v="1729299.6645499999"/>
    <d v="2024-05-12T00:00:00"/>
    <x v="0"/>
    <x v="0"/>
    <x v="0"/>
  </r>
  <r>
    <x v="7"/>
    <n v="18"/>
    <n v="326915.56"/>
    <n v="1268354.05"/>
    <n v="133177.17525"/>
    <n v="1728446.7852500002"/>
    <d v="2024-06-12T00:00:00"/>
    <x v="0"/>
    <x v="0"/>
    <x v="0"/>
  </r>
  <r>
    <x v="7"/>
    <n v="19"/>
    <n v="335245.18"/>
    <n v="1260024.42"/>
    <n v="132302.56409999999"/>
    <n v="1727572.1640999999"/>
    <d v="2024-07-12T00:00:00"/>
    <x v="0"/>
    <x v="0"/>
    <x v="0"/>
  </r>
  <r>
    <x v="7"/>
    <n v="20"/>
    <n v="343787.05"/>
    <n v="1251482.55"/>
    <n v="131405.66774999999"/>
    <n v="1726675.2677500001"/>
    <d v="2024-08-12T00:00:00"/>
    <x v="0"/>
    <x v="0"/>
    <x v="0"/>
  </r>
  <r>
    <x v="7"/>
    <n v="21"/>
    <n v="312971.21000000002"/>
    <n v="1403074.4"/>
    <n v="147322.81199999998"/>
    <n v="1863368.4219999998"/>
    <d v="2024-09-12T00:00:00"/>
    <x v="0"/>
    <x v="0"/>
    <x v="0"/>
  </r>
  <r>
    <x v="7"/>
    <n v="22"/>
    <n v="321974.49"/>
    <n v="1394071.12"/>
    <n v="146377.4676"/>
    <n v="1862423.0776000002"/>
    <d v="2024-10-12T00:00:00"/>
    <x v="0"/>
    <x v="0"/>
    <x v="0"/>
  </r>
  <r>
    <x v="7"/>
    <n v="23"/>
    <n v="331236.76"/>
    <n v="1384808.84"/>
    <n v="145404.92819999999"/>
    <n v="1861450.5282000001"/>
    <d v="2024-11-12T00:00:00"/>
    <x v="0"/>
    <x v="0"/>
    <x v="0"/>
  </r>
  <r>
    <x v="7"/>
    <n v="24"/>
    <n v="340765.48"/>
    <n v="1375280.11"/>
    <n v="144404.41155000002"/>
    <n v="1860450.0015500002"/>
    <d v="2024-12-12T00:00:00"/>
    <x v="0"/>
    <x v="0"/>
    <x v="0"/>
  </r>
  <r>
    <x v="7"/>
    <n v="25"/>
    <n v="350868.33"/>
    <n v="1365477.26"/>
    <n v="143375.11230000001"/>
    <n v="1859720.7023"/>
    <d v="2025-01-12T00:00:00"/>
    <x v="0"/>
    <x v="0"/>
    <x v="0"/>
  </r>
  <r>
    <x v="7"/>
    <n v="26"/>
    <n v="360653.16"/>
    <n v="1355392.42"/>
    <n v="162647.09039999999"/>
    <n v="1878692.6703999997"/>
    <d v="2025-02-12T00:00:00"/>
    <x v="0"/>
    <x v="0"/>
    <x v="0"/>
  </r>
  <r>
    <x v="7"/>
    <n v="27"/>
    <n v="371028.11"/>
    <n v="1345017.47"/>
    <n v="161402.09639999998"/>
    <n v="1877447.6764"/>
    <d v="2025-03-12T00:00:00"/>
    <x v="0"/>
    <x v="0"/>
    <x v="0"/>
  </r>
  <r>
    <x v="7"/>
    <n v="28"/>
    <n v="471687.24535757094"/>
    <n v="1312043.2802466019"/>
    <n v="137764.5444258932"/>
    <n v="1921495.070030066"/>
    <d v="2025-04-12T00:00:00"/>
    <x v="0"/>
    <x v="0"/>
    <x v="0"/>
  </r>
  <r>
    <x v="7"/>
    <n v="29"/>
    <n v="485837.8627182981"/>
    <n v="1297892.6628858747"/>
    <n v="136278.72960301684"/>
    <n v="1920009.2552071896"/>
    <d v="2025-05-12T00:00:00"/>
    <x v="0"/>
    <x v="0"/>
    <x v="0"/>
  </r>
  <r>
    <x v="7"/>
    <n v="30"/>
    <n v="500412.99859984708"/>
    <n v="1283317.5270043258"/>
    <n v="134748.34033545421"/>
    <n v="1918478.8659396269"/>
    <d v="2025-06-12T00:00:00"/>
    <x v="0"/>
    <x v="0"/>
    <x v="0"/>
  </r>
  <r>
    <x v="7"/>
    <n v="31"/>
    <n v="515425.3885578427"/>
    <n v="1268305.1370463301"/>
    <n v="133172.03938986466"/>
    <n v="1916902.5649940376"/>
    <d v="2025-07-12T00:00:00"/>
    <x v="0"/>
    <x v="0"/>
    <x v="0"/>
  </r>
  <r>
    <x v="7"/>
    <n v="32"/>
    <n v="530888.15021457803"/>
    <n v="1252842.3753895948"/>
    <n v="131548.44941590744"/>
    <n v="1915278.9750200803"/>
    <d v="2025-08-12T00:00:00"/>
    <x v="0"/>
    <x v="0"/>
    <x v="0"/>
  </r>
  <r>
    <x v="12"/>
    <n v="46"/>
    <n v="3415192.27"/>
    <n v="1768387.33"/>
    <n v="212206.48"/>
    <n v="5395786.0800000001"/>
    <d v="2028-10-17T00:00:00"/>
    <x v="4"/>
    <x v="1"/>
    <x v="0"/>
  </r>
  <r>
    <x v="15"/>
    <n v="39"/>
    <n v="2791245.79"/>
    <n v="2983263.78"/>
    <n v="358289.99"/>
    <n v="6132799.5599999996"/>
    <d v="2028-10-17T00:00:00"/>
    <x v="0"/>
    <x v="1"/>
    <x v="0"/>
  </r>
  <r>
    <x v="16"/>
    <n v="52"/>
    <n v="8958333.3300000001"/>
    <n v="1656678.08"/>
    <n v="198801.36999999918"/>
    <n v="10813812.779999999"/>
    <d v="2028-10-18T00:00:00"/>
    <x v="1"/>
    <x v="1"/>
    <x v="0"/>
  </r>
  <r>
    <x v="0"/>
    <n v="51"/>
    <n v="1527951.93"/>
    <n v="3061472.32"/>
    <n v="367376.67"/>
    <n v="4956800.92"/>
    <d v="2028-10-19T00:00:00"/>
    <x v="0"/>
    <x v="1"/>
    <x v="0"/>
  </r>
  <r>
    <x v="17"/>
    <n v="50"/>
    <n v="5729819.8099999996"/>
    <n v="11480521.15"/>
    <n v="1377662.54"/>
    <n v="18588003.5"/>
    <d v="2028-10-19T00:00:00"/>
    <x v="0"/>
    <x v="1"/>
    <x v="0"/>
  </r>
  <r>
    <x v="19"/>
    <n v="46"/>
    <n v="2307490.7000000002"/>
    <n v="2598826.59"/>
    <n v="311859.18"/>
    <n v="5218176.47"/>
    <d v="2028-10-26T00:00:00"/>
    <x v="5"/>
    <x v="1"/>
    <x v="0"/>
  </r>
  <r>
    <x v="20"/>
    <n v="52"/>
    <n v="5297740.2413701415"/>
    <n v="3155443.5268892846"/>
    <n v="378653.22322671418"/>
    <n v="8831836.9914861396"/>
    <d v="2028-10-27T00:00:00"/>
    <x v="5"/>
    <x v="1"/>
    <x v="0"/>
  </r>
  <r>
    <x v="13"/>
    <n v="49"/>
    <n v="5585762.7999999998"/>
    <n v="2189606.6"/>
    <n v="262752.79000000004"/>
    <n v="8038122.1900000004"/>
    <d v="2028-10-27T00:00:00"/>
    <x v="4"/>
    <x v="1"/>
    <x v="0"/>
  </r>
  <r>
    <x v="23"/>
    <n v="46"/>
    <n v="4832928.5199999996"/>
    <n v="2427091.7000000002"/>
    <n v="291251.01"/>
    <n v="7551271.2300000004"/>
    <d v="2028-10-27T00:00:00"/>
    <x v="7"/>
    <x v="1"/>
    <x v="0"/>
  </r>
  <r>
    <x v="2"/>
    <n v="52"/>
    <n v="7916666.6699999999"/>
    <n v="1512842.46"/>
    <n v="181541.10000000056"/>
    <n v="9611050.2300000004"/>
    <d v="2028-11-02T00:00:00"/>
    <x v="1"/>
    <x v="1"/>
    <x v="0"/>
  </r>
  <r>
    <x v="3"/>
    <n v="63"/>
    <n v="2032862.9763263678"/>
    <n v="699134.87452088029"/>
    <n v="83896.184942505628"/>
    <n v="2815894.0357897538"/>
    <d v="2028-11-02T00:00:00"/>
    <x v="0"/>
    <x v="1"/>
    <x v="0"/>
  </r>
  <r>
    <x v="4"/>
    <n v="48"/>
    <n v="14166666.67"/>
    <n v="5328219.17"/>
    <n v="639386.30000000075"/>
    <n v="20134272.140000001"/>
    <d v="2028-11-04T00:00:00"/>
    <x v="1"/>
    <x v="1"/>
    <x v="0"/>
  </r>
  <r>
    <x v="7"/>
    <n v="71"/>
    <n v="1681337.0964314886"/>
    <n v="102393.42917268426"/>
    <n v="10751.310063131847"/>
    <n v="1794481.8356673047"/>
    <d v="2028-11-12T00:00:00"/>
    <x v="0"/>
    <x v="1"/>
    <x v="0"/>
  </r>
  <r>
    <x v="8"/>
    <n v="40"/>
    <n v="2627593.9300000002"/>
    <n v="7929208"/>
    <n v="952297.88"/>
    <n v="11509099.810000001"/>
    <d v="2028-11-13T00:00:00"/>
    <x v="0"/>
    <x v="1"/>
    <x v="0"/>
  </r>
  <r>
    <x v="10"/>
    <n v="49"/>
    <n v="10454939.504512705"/>
    <n v="3592080.1389532173"/>
    <n v="431049.61667438608"/>
    <n v="14478069.260140309"/>
    <d v="2028-11-17T00:00:00"/>
    <x v="3"/>
    <x v="1"/>
    <x v="0"/>
  </r>
  <r>
    <x v="11"/>
    <n v="49"/>
    <n v="2083333.33"/>
    <n v="679452.06"/>
    <n v="81534.25"/>
    <n v="2844319.64"/>
    <d v="2028-11-17T00:00:00"/>
    <x v="1"/>
    <x v="1"/>
    <x v="0"/>
  </r>
  <r>
    <x v="18"/>
    <n v="47"/>
    <n v="6787217.6699999999"/>
    <n v="3234369.56"/>
    <n v="388124.34"/>
    <n v="10409711.57"/>
    <d v="2028-11-17T00:00:00"/>
    <x v="4"/>
    <x v="1"/>
    <x v="0"/>
  </r>
  <r>
    <x v="12"/>
    <n v="47"/>
    <n v="3510629.82"/>
    <n v="1672949.78"/>
    <n v="200753.98"/>
    <n v="5384333.5800000001"/>
    <d v="2028-11-17T00:00:00"/>
    <x v="4"/>
    <x v="1"/>
    <x v="0"/>
  </r>
  <r>
    <x v="15"/>
    <n v="40"/>
    <n v="2885020.18"/>
    <n v="2889489.39"/>
    <n v="347027.68"/>
    <n v="6121537.25"/>
    <d v="2028-11-17T00:00:00"/>
    <x v="0"/>
    <x v="1"/>
    <x v="0"/>
  </r>
  <r>
    <x v="16"/>
    <n v="53"/>
    <n v="8958333.3300000001"/>
    <n v="1619863.02"/>
    <n v="194383.5700000003"/>
    <n v="10772579.92"/>
    <d v="2028-11-18T00:00:00"/>
    <x v="1"/>
    <x v="1"/>
    <x v="0"/>
  </r>
  <r>
    <x v="0"/>
    <n v="52"/>
    <n v="1578185.97"/>
    <n v="3011238.28"/>
    <n v="361348.59"/>
    <n v="4950772.84"/>
    <d v="2028-11-19T00:00:00"/>
    <x v="0"/>
    <x v="1"/>
    <x v="0"/>
  </r>
  <r>
    <x v="17"/>
    <n v="51"/>
    <n v="5918197.4500000002"/>
    <n v="11292143.51"/>
    <n v="1355057.22"/>
    <n v="18565398.18"/>
    <d v="2028-11-19T00:00:00"/>
    <x v="0"/>
    <x v="1"/>
    <x v="0"/>
  </r>
  <r>
    <x v="19"/>
    <n v="47"/>
    <n v="2372869.6"/>
    <n v="2533447.69"/>
    <n v="304013.71000000002"/>
    <n v="5210331"/>
    <d v="2028-11-26T00:00:00"/>
    <x v="5"/>
    <x v="1"/>
    <x v="0"/>
  </r>
  <r>
    <x v="20"/>
    <n v="53"/>
    <n v="5416939.3968009707"/>
    <n v="3036244.3714584564"/>
    <n v="364349.32457501476"/>
    <n v="8817533.092834441"/>
    <d v="2028-11-27T00:00:00"/>
    <x v="5"/>
    <x v="1"/>
    <x v="0"/>
  </r>
  <r>
    <x v="13"/>
    <n v="50"/>
    <n v="5741856.9400000004"/>
    <n v="2033512.46"/>
    <n v="244021.5"/>
    <n v="8019390.9000000004"/>
    <d v="2028-11-27T00:00:00"/>
    <x v="4"/>
    <x v="1"/>
    <x v="0"/>
  </r>
  <r>
    <x v="23"/>
    <n v="47"/>
    <n v="4965834.05"/>
    <n v="2294186.17"/>
    <n v="275302.34000000003"/>
    <n v="7535322.5599999996"/>
    <d v="2028-11-27T00:00:00"/>
    <x v="7"/>
    <x v="1"/>
    <x v="0"/>
  </r>
  <r>
    <x v="2"/>
    <n v="53"/>
    <n v="7916666.6699999999"/>
    <n v="1388127.85"/>
    <n v="166575.33999999985"/>
    <n v="9471369.8599999994"/>
    <d v="2028-12-02T00:00:00"/>
    <x v="1"/>
    <x v="1"/>
    <x v="0"/>
  </r>
  <r>
    <x v="3"/>
    <n v="64"/>
    <n v="2093848.8656161586"/>
    <n v="638148.98523108929"/>
    <n v="76577.878227730718"/>
    <n v="2808575.7290749787"/>
    <d v="2028-12-02T00:00:00"/>
    <x v="0"/>
    <x v="1"/>
    <x v="0"/>
  </r>
  <r>
    <x v="4"/>
    <n v="49"/>
    <n v="14166666.67"/>
    <n v="4173150.68"/>
    <n v="500778.08000000007"/>
    <n v="18840595.43"/>
    <d v="2028-12-04T00:00:00"/>
    <x v="1"/>
    <x v="1"/>
    <x v="0"/>
  </r>
  <r>
    <x v="7"/>
    <n v="72"/>
    <n v="1731777.2093244332"/>
    <n v="51953.3162797396"/>
    <n v="5455.0982093726579"/>
    <n v="1789185.6238135456"/>
    <d v="2028-12-12T00:00:00"/>
    <x v="0"/>
    <x v="1"/>
    <x v="0"/>
  </r>
  <r>
    <x v="8"/>
    <n v="41"/>
    <n v="2710066.18"/>
    <n v="7846735.75"/>
    <n v="942392.96"/>
    <n v="11499194.890000001"/>
    <d v="2028-12-13T00:00:00"/>
    <x v="0"/>
    <x v="1"/>
    <x v="0"/>
  </r>
  <r>
    <x v="10"/>
    <n v="50"/>
    <n v="10715441.747166812"/>
    <n v="3331577.8962991093"/>
    <n v="399789.34755589312"/>
    <n v="14446808.991021816"/>
    <d v="2028-12-17T00:00:00"/>
    <x v="3"/>
    <x v="1"/>
    <x v="0"/>
  </r>
  <r>
    <x v="11"/>
    <n v="50"/>
    <n v="2083333.33"/>
    <n v="622831.05000000005"/>
    <n v="74739.729999999516"/>
    <n v="2780904.11"/>
    <d v="2028-12-17T00:00:00"/>
    <x v="1"/>
    <x v="1"/>
    <x v="0"/>
  </r>
  <r>
    <x v="18"/>
    <n v="48"/>
    <n v="6976886.46"/>
    <n v="3044700.77"/>
    <n v="365364.09"/>
    <n v="10386951.32"/>
    <d v="2028-12-17T00:00:00"/>
    <x v="4"/>
    <x v="1"/>
    <x v="0"/>
  </r>
  <r>
    <x v="12"/>
    <n v="48"/>
    <n v="3608734.37"/>
    <n v="1574845.23"/>
    <n v="188981.43"/>
    <n v="5372561.0300000003"/>
    <d v="2028-12-17T00:00:00"/>
    <x v="4"/>
    <x v="1"/>
    <x v="0"/>
  </r>
  <r>
    <x v="15"/>
    <n v="41"/>
    <n v="2981945"/>
    <n v="2792564.57"/>
    <n v="335387.01"/>
    <n v="6109896.5800000001"/>
    <d v="2028-12-17T00:00:00"/>
    <x v="0"/>
    <x v="1"/>
    <x v="0"/>
  </r>
  <r>
    <x v="16"/>
    <n v="54"/>
    <n v="8958333.3300000001"/>
    <n v="1202625.57"/>
    <n v="144315.06000000052"/>
    <n v="10305273.960000001"/>
    <d v="2028-12-18T00:00:00"/>
    <x v="1"/>
    <x v="1"/>
    <x v="0"/>
  </r>
  <r>
    <x v="0"/>
    <n v="53"/>
    <n v="1630071.53"/>
    <n v="2959352.72"/>
    <n v="355122.33"/>
    <n v="4944546.58"/>
    <d v="2028-12-19T00:00:00"/>
    <x v="0"/>
    <x v="1"/>
    <x v="0"/>
  </r>
  <r>
    <x v="17"/>
    <n v="52"/>
    <n v="6112768.3200000003"/>
    <n v="11097572.640000001"/>
    <n v="1331708.72"/>
    <n v="18542049.68"/>
    <d v="2028-12-19T00:00:00"/>
    <x v="0"/>
    <x v="1"/>
    <x v="0"/>
  </r>
  <r>
    <x v="19"/>
    <n v="48"/>
    <n v="2440100.91"/>
    <n v="2466216.38"/>
    <n v="295945.95"/>
    <n v="5202263.24"/>
    <d v="2028-12-26T00:00:00"/>
    <x v="5"/>
    <x v="1"/>
    <x v="0"/>
  </r>
  <r>
    <x v="1"/>
    <n v="1"/>
    <m/>
    <n v="1200000"/>
    <n v="144000"/>
    <n v="1344000"/>
    <d v="2022-09-30T00:00:00"/>
    <x v="0"/>
    <x v="0"/>
    <x v="0"/>
  </r>
  <r>
    <x v="1"/>
    <n v="2"/>
    <m/>
    <n v="1195135.1464863964"/>
    <n v="143416.21757836756"/>
    <n v="1338551.364064764"/>
    <d v="2022-10-31T00:00:00"/>
    <x v="0"/>
    <x v="0"/>
    <x v="0"/>
  </r>
  <r>
    <x v="1"/>
    <n v="3"/>
    <m/>
    <n v="1190124.3473673847"/>
    <n v="142814.92168408615"/>
    <n v="1332939.2690514708"/>
    <d v="2022-11-30T00:00:00"/>
    <x v="0"/>
    <x v="0"/>
    <x v="0"/>
  </r>
  <r>
    <x v="1"/>
    <n v="4"/>
    <m/>
    <n v="1184963.2242748027"/>
    <n v="142195.58691297632"/>
    <n v="1327158.8111877791"/>
    <d v="2022-12-31T00:00:00"/>
    <x v="0"/>
    <x v="0"/>
    <x v="0"/>
  </r>
  <r>
    <x v="1"/>
    <n v="5"/>
    <m/>
    <n v="1179647.2674894433"/>
    <n v="141557.67209873319"/>
    <n v="1321204.9395881766"/>
    <d v="2023-01-31T00:00:00"/>
    <x v="0"/>
    <x v="0"/>
    <x v="0"/>
  </r>
  <r>
    <x v="1"/>
    <n v="6"/>
    <m/>
    <n v="1174171.8320005231"/>
    <n v="140900.61984006278"/>
    <n v="1315072.4518405858"/>
    <d v="2023-02-28T00:00:00"/>
    <x v="0"/>
    <x v="0"/>
    <x v="0"/>
  </r>
  <r>
    <x v="1"/>
    <n v="7"/>
    <m/>
    <n v="1168532.1334469351"/>
    <n v="140223.8560136322"/>
    <n v="1308755.9894605672"/>
    <d v="2023-03-31T00:00:00"/>
    <x v="0"/>
    <x v="0"/>
    <x v="0"/>
  </r>
  <r>
    <x v="1"/>
    <n v="8"/>
    <m/>
    <n v="1162723.2439367396"/>
    <n v="139526.78927240876"/>
    <n v="1302250.0332091483"/>
    <d v="2023-04-30T00:00:00"/>
    <x v="0"/>
    <x v="0"/>
    <x v="0"/>
  </r>
  <r>
    <x v="1"/>
    <n v="9"/>
    <m/>
    <n v="1156740.0877412383"/>
    <n v="138808.81052894858"/>
    <n v="1295548.898270187"/>
    <d v="2023-05-31T00:00:00"/>
    <x v="0"/>
    <x v="0"/>
    <x v="0"/>
  </r>
  <r>
    <x v="1"/>
    <n v="10"/>
    <m/>
    <n v="1150577.4368598717"/>
    <n v="138069.29242318461"/>
    <n v="1288646.7292830562"/>
    <d v="2023-06-30T00:00:00"/>
    <x v="0"/>
    <x v="0"/>
    <x v="0"/>
  </r>
  <r>
    <x v="1"/>
    <n v="11"/>
    <m/>
    <n v="1144229.9064520644"/>
    <n v="137307.58877424774"/>
    <n v="1281537.4952263122"/>
    <d v="2023-07-31T00:00:00"/>
    <x v="0"/>
    <x v="0"/>
    <x v="0"/>
  </r>
  <r>
    <x v="1"/>
    <n v="12"/>
    <m/>
    <n v="1137691.9501320228"/>
    <n v="136523.03401584274"/>
    <n v="1274214.9841478656"/>
    <d v="2023-08-31T00:00:00"/>
    <x v="0"/>
    <x v="0"/>
    <x v="0"/>
  </r>
  <r>
    <x v="1"/>
    <n v="13"/>
    <n v="199063.86"/>
    <n v="1019188.08"/>
    <n v="122302.56959999999"/>
    <n v="1340554.5096"/>
    <d v="2023-09-30T00:00:00"/>
    <x v="0"/>
    <x v="0"/>
    <x v="0"/>
  </r>
  <r>
    <x v="1"/>
    <n v="14"/>
    <n v="204135.9"/>
    <n v="1014116.04"/>
    <n v="121693.92479999999"/>
    <n v="1339945.8647999999"/>
    <d v="2023-10-31T00:00:00"/>
    <x v="0"/>
    <x v="0"/>
    <x v="0"/>
  </r>
  <r>
    <x v="1"/>
    <n v="15"/>
    <n v="209337.17"/>
    <n v="1015662.63"/>
    <n v="121879.5156"/>
    <n v="1346879.3156000001"/>
    <d v="2023-11-30T00:00:00"/>
    <x v="0"/>
    <x v="0"/>
    <x v="0"/>
  </r>
  <r>
    <x v="1"/>
    <n v="16"/>
    <n v="214670.95"/>
    <n v="1003581.01"/>
    <n v="120429.7212"/>
    <n v="1338681.6812"/>
    <d v="2023-12-31T00:00:00"/>
    <x v="0"/>
    <x v="0"/>
    <x v="0"/>
  </r>
  <r>
    <x v="1"/>
    <n v="17"/>
    <n v="220140.65"/>
    <n v="998111.28"/>
    <n v="119773.3536"/>
    <n v="1338025.2836"/>
    <d v="2024-01-31T00:00:00"/>
    <x v="0"/>
    <x v="0"/>
    <x v="0"/>
  </r>
  <r>
    <x v="1"/>
    <n v="18"/>
    <n v="225749.72"/>
    <n v="992502.21"/>
    <n v="119100.26519999999"/>
    <n v="1337352.1952"/>
    <d v="2024-02-29T00:00:00"/>
    <x v="0"/>
    <x v="0"/>
    <x v="0"/>
  </r>
  <r>
    <x v="1"/>
    <n v="19"/>
    <n v="231501.59"/>
    <n v="986750.23"/>
    <n v="118410.02759999999"/>
    <n v="1336661.8476"/>
    <d v="2024-03-31T00:00:00"/>
    <x v="0"/>
    <x v="0"/>
    <x v="0"/>
  </r>
  <r>
    <x v="1"/>
    <n v="20"/>
    <n v="237400.22"/>
    <n v="980851.7"/>
    <n v="117702.20399999998"/>
    <n v="1335954.1239999998"/>
    <d v="2024-04-30T00:00:00"/>
    <x v="0"/>
    <x v="0"/>
    <x v="0"/>
  </r>
  <r>
    <x v="1"/>
    <n v="21"/>
    <n v="243449.05"/>
    <n v="974802.87"/>
    <n v="116976.3444"/>
    <n v="1335228.2644"/>
    <d v="2024-05-31T00:00:00"/>
    <x v="0"/>
    <x v="0"/>
    <x v="0"/>
  </r>
  <r>
    <x v="1"/>
    <n v="22"/>
    <n v="249651.99"/>
    <n v="968599.92"/>
    <n v="116231.9904"/>
    <n v="1334483.9004000002"/>
    <d v="2024-06-30T00:00:00"/>
    <x v="0"/>
    <x v="0"/>
    <x v="0"/>
  </r>
  <r>
    <x v="1"/>
    <n v="23"/>
    <n v="256012.98"/>
    <n v="962228.93"/>
    <n v="115467.4716"/>
    <n v="1333709.3816000002"/>
    <d v="2024-07-31T00:00:00"/>
    <x v="0"/>
    <x v="0"/>
    <x v="0"/>
  </r>
  <r>
    <x v="1"/>
    <n v="24"/>
    <n v="262536.05"/>
    <n v="955715.86"/>
    <n v="114685.9032"/>
    <n v="1332937.8132"/>
    <d v="2024-08-31T00:00:00"/>
    <x v="0"/>
    <x v="0"/>
    <x v="0"/>
  </r>
  <r>
    <x v="1"/>
    <n v="25"/>
    <n v="239003.26"/>
    <n v="1071470.33"/>
    <n v="128576.4396"/>
    <n v="1439050.0296"/>
    <d v="2024-09-30T00:00:00"/>
    <x v="0"/>
    <x v="0"/>
    <x v="0"/>
  </r>
  <r>
    <x v="1"/>
    <n v="26"/>
    <n v="245878.7"/>
    <n v="1064604.8899999999"/>
    <n v="127752.58679999999"/>
    <n v="1438236.1767999998"/>
    <d v="2024-10-31T00:00:00"/>
    <x v="0"/>
    <x v="0"/>
    <x v="0"/>
  </r>
  <r>
    <x v="1"/>
    <n v="27"/>
    <n v="252951.91"/>
    <n v="1057531.67"/>
    <n v="126903.80039999999"/>
    <n v="1437387.3803999999"/>
    <d v="2024-11-30T00:00:00"/>
    <x v="0"/>
    <x v="0"/>
    <x v="0"/>
  </r>
  <r>
    <x v="1"/>
    <n v="28"/>
    <n v="260228.61"/>
    <n v="1050254.97"/>
    <n v="126030.59639999999"/>
    <n v="1436514.1764"/>
    <d v="2024-12-31T00:00:00"/>
    <x v="0"/>
    <x v="0"/>
    <x v="0"/>
  </r>
  <r>
    <x v="1"/>
    <n v="29"/>
    <n v="267714.64"/>
    <n v="1042758.94"/>
    <n v="125131.07279999999"/>
    <n v="1435604.6528"/>
    <d v="2025-01-31T00:00:00"/>
    <x v="0"/>
    <x v="0"/>
    <x v="0"/>
  </r>
  <r>
    <x v="1"/>
    <n v="30"/>
    <n v="275416.01"/>
    <n v="1035057.56"/>
    <n v="124206.9072"/>
    <n v="1434680.4772000001"/>
    <d v="2025-02-28T00:00:00"/>
    <x v="0"/>
    <x v="0"/>
    <x v="0"/>
  </r>
  <r>
    <x v="1"/>
    <n v="31"/>
    <n v="283338.94"/>
    <n v="1027134.63"/>
    <n v="123256.1556"/>
    <n v="1433729.7256"/>
    <d v="2025-03-31T00:00:00"/>
    <x v="0"/>
    <x v="0"/>
    <x v="0"/>
  </r>
  <r>
    <x v="1"/>
    <n v="32"/>
    <n v="405417.488408242"/>
    <n v="956744.29537854379"/>
    <n v="114809.31544542525"/>
    <n v="1476971.099232211"/>
    <d v="2025-04-30T00:00:00"/>
    <x v="0"/>
    <x v="0"/>
    <x v="0"/>
  </r>
  <r>
    <x v="1"/>
    <n v="33"/>
    <n v="417580.01306048932"/>
    <n v="944581.77072629647"/>
    <n v="113349.81248715558"/>
    <n v="1475511.5962739415"/>
    <d v="2025-05-31T00:00:00"/>
    <x v="0"/>
    <x v="0"/>
    <x v="0"/>
  </r>
  <r>
    <x v="1"/>
    <n v="34"/>
    <n v="430107.41345230397"/>
    <n v="932054.37033448182"/>
    <n v="111846.52444013781"/>
    <n v="1474008.3082269237"/>
    <d v="2025-06-30T00:00:00"/>
    <x v="0"/>
    <x v="0"/>
    <x v="0"/>
  </r>
  <r>
    <x v="1"/>
    <n v="35"/>
    <n v="443010.63585587312"/>
    <n v="919151.14793091267"/>
    <n v="110298.13775170951"/>
    <n v="1472459.9215384952"/>
    <d v="2025-07-31T00:00:00"/>
    <x v="0"/>
    <x v="0"/>
    <x v="0"/>
  </r>
  <r>
    <x v="20"/>
    <n v="54"/>
    <n v="5538820.5332289916"/>
    <n v="2914363.2350304346"/>
    <n v="349723.58820365212"/>
    <n v="8802907.3564630784"/>
    <d v="2028-12-27T00:00:00"/>
    <x v="5"/>
    <x v="1"/>
    <x v="0"/>
  </r>
  <r>
    <x v="13"/>
    <n v="51"/>
    <n v="5902313.1299999999"/>
    <n v="1873056.27"/>
    <n v="224766.75000000093"/>
    <n v="8000136.1500000004"/>
    <d v="2028-12-27T00:00:00"/>
    <x v="4"/>
    <x v="1"/>
    <x v="0"/>
  </r>
  <r>
    <x v="23"/>
    <n v="48"/>
    <n v="5102394.49"/>
    <n v="2157625.73"/>
    <n v="258915.09"/>
    <n v="7518935.3099999996"/>
    <d v="2028-12-27T00:00:00"/>
    <x v="7"/>
    <x v="1"/>
    <x v="0"/>
  </r>
  <r>
    <x v="2"/>
    <n v="54"/>
    <n v="7916666.6699999999"/>
    <n v="1100742.01"/>
    <n v="132089.04000000097"/>
    <n v="9149497.7200000007"/>
    <d v="2029-01-02T00:00:00"/>
    <x v="1"/>
    <x v="1"/>
    <x v="0"/>
  </r>
  <r>
    <x v="3"/>
    <n v="65"/>
    <n v="2156664.3315846436"/>
    <n v="575333.51926260453"/>
    <n v="69040.022311512541"/>
    <n v="2801037.8731587608"/>
    <d v="2029-01-02T00:00:00"/>
    <x v="0"/>
    <x v="1"/>
    <x v="0"/>
  </r>
  <r>
    <x v="4"/>
    <n v="50"/>
    <n v="14166666.67"/>
    <n v="4235251.1399999997"/>
    <n v="508230.13999999873"/>
    <n v="18910147.949999999"/>
    <d v="2029-01-04T00:00:00"/>
    <x v="1"/>
    <x v="1"/>
    <x v="0"/>
  </r>
  <r>
    <x v="8"/>
    <n v="42"/>
    <n v="2795126.99"/>
    <n v="7761674.9400000004"/>
    <n v="932177.16"/>
    <n v="11488979.09"/>
    <d v="2029-01-13T00:00:00"/>
    <x v="0"/>
    <x v="1"/>
    <x v="0"/>
  </r>
  <r>
    <x v="10"/>
    <n v="51"/>
    <n v="10982434.837367052"/>
    <n v="3064584.8060988695"/>
    <n v="367750.17673186434"/>
    <n v="14414769.820197785"/>
    <d v="2029-01-17T00:00:00"/>
    <x v="3"/>
    <x v="1"/>
    <x v="0"/>
  </r>
  <r>
    <x v="11"/>
    <n v="51"/>
    <n v="2083333.33"/>
    <n v="547945.21"/>
    <n v="65753.430000000168"/>
    <n v="2697031.97"/>
    <d v="2029-01-17T00:00:00"/>
    <x v="1"/>
    <x v="1"/>
    <x v="0"/>
  </r>
  <r>
    <x v="18"/>
    <n v="49"/>
    <n v="7171855.5599999996"/>
    <n v="2849731.67"/>
    <n v="341967.81"/>
    <n v="10363555.039999999"/>
    <d v="2029-01-17T00:00:00"/>
    <x v="4"/>
    <x v="1"/>
    <x v="0"/>
  </r>
  <r>
    <x v="12"/>
    <n v="49"/>
    <n v="3709580.45"/>
    <n v="1473999.15"/>
    <n v="176879.9"/>
    <n v="5360459.5"/>
    <d v="2029-01-17T00:00:00"/>
    <x v="4"/>
    <x v="1"/>
    <x v="0"/>
  </r>
  <r>
    <x v="15"/>
    <n v="42"/>
    <n v="3082126.1"/>
    <n v="2692383.47"/>
    <n v="323355.25"/>
    <n v="6097864.8200000003"/>
    <d v="2029-01-17T00:00:00"/>
    <x v="0"/>
    <x v="1"/>
    <x v="0"/>
  </r>
  <r>
    <x v="16"/>
    <n v="55"/>
    <n v="8958333.3300000001"/>
    <n v="1141267.1299999999"/>
    <n v="136952.06000000052"/>
    <n v="10236552.52"/>
    <d v="2029-01-18T00:00:00"/>
    <x v="1"/>
    <x v="1"/>
    <x v="0"/>
  </r>
  <r>
    <x v="0"/>
    <n v="54"/>
    <n v="1683662.92"/>
    <n v="2905761.33"/>
    <n v="348691.36"/>
    <n v="4938115.6100000003"/>
    <d v="2029-01-19T00:00:00"/>
    <x v="0"/>
    <x v="1"/>
    <x v="0"/>
  </r>
  <r>
    <x v="17"/>
    <n v="53"/>
    <n v="6313736.04"/>
    <n v="10896604.92"/>
    <n v="1307592.5900000001"/>
    <n v="18517933.550000001"/>
    <d v="2029-01-19T00:00:00"/>
    <x v="0"/>
    <x v="1"/>
    <x v="0"/>
  </r>
  <r>
    <x v="19"/>
    <n v="49"/>
    <n v="2509237.1"/>
    <n v="2397080.19"/>
    <n v="287649.61"/>
    <n v="5193966.9000000004"/>
    <d v="2029-01-26T00:00:00"/>
    <x v="5"/>
    <x v="1"/>
    <x v="0"/>
  </r>
  <r>
    <x v="20"/>
    <n v="55"/>
    <n v="5663443.995226644"/>
    <n v="2789739.7730327821"/>
    <n v="334768.77276393387"/>
    <n v="8787952.5410233606"/>
    <d v="2029-01-27T00:00:00"/>
    <x v="5"/>
    <x v="1"/>
    <x v="0"/>
  </r>
  <r>
    <x v="13"/>
    <n v="52"/>
    <n v="6067253.2699999996"/>
    <n v="1708116.13"/>
    <n v="204973.93000000063"/>
    <n v="7980343.3300000001"/>
    <d v="2029-01-27T00:00:00"/>
    <x v="4"/>
    <x v="1"/>
    <x v="0"/>
  </r>
  <r>
    <x v="23"/>
    <n v="49"/>
    <n v="5242710.34"/>
    <n v="2017309.88"/>
    <n v="242077.19"/>
    <n v="7502097.4100000001"/>
    <d v="2029-01-27T00:00:00"/>
    <x v="7"/>
    <x v="1"/>
    <x v="0"/>
  </r>
  <r>
    <x v="2"/>
    <n v="55"/>
    <n v="7916666.6699999999"/>
    <n v="1008561.64"/>
    <n v="121027.38999999966"/>
    <n v="9046255.6999999993"/>
    <d v="2029-02-02T00:00:00"/>
    <x v="1"/>
    <x v="1"/>
    <x v="0"/>
  </r>
  <r>
    <x v="3"/>
    <n v="66"/>
    <n v="2221364.2615321828"/>
    <n v="510633.58931506524"/>
    <n v="61276.030717807829"/>
    <n v="2793273.8815650558"/>
    <d v="2029-02-02T00:00:00"/>
    <x v="0"/>
    <x v="1"/>
    <x v="0"/>
  </r>
  <r>
    <x v="4"/>
    <n v="51"/>
    <n v="14166666.67"/>
    <n v="3974429.22"/>
    <n v="476931.50999999791"/>
    <n v="18618027.399999999"/>
    <d v="2029-02-04T00:00:00"/>
    <x v="1"/>
    <x v="1"/>
    <x v="0"/>
  </r>
  <r>
    <x v="8"/>
    <n v="43"/>
    <n v="2882857.6"/>
    <n v="7673944.3300000001"/>
    <n v="921640.7"/>
    <n v="11478442.629999999"/>
    <d v="2029-02-13T00:00:00"/>
    <x v="0"/>
    <x v="1"/>
    <x v="0"/>
  </r>
  <r>
    <x v="10"/>
    <n v="52"/>
    <n v="11256080.505398113"/>
    <n v="2790939.1380678071"/>
    <n v="334912.69656813686"/>
    <n v="14381932.340034056"/>
    <d v="2029-02-17T00:00:00"/>
    <x v="3"/>
    <x v="1"/>
    <x v="0"/>
  </r>
  <r>
    <x v="11"/>
    <n v="52"/>
    <n v="2083333.33"/>
    <n v="542465.76"/>
    <n v="65095.889999999665"/>
    <n v="2690894.98"/>
    <d v="2029-02-17T00:00:00"/>
    <x v="1"/>
    <x v="1"/>
    <x v="0"/>
  </r>
  <r>
    <x v="18"/>
    <n v="50"/>
    <n v="7372273.0599999996"/>
    <n v="2649314.17"/>
    <n v="317917.7"/>
    <n v="10339504.93"/>
    <d v="2029-02-17T00:00:00"/>
    <x v="4"/>
    <x v="1"/>
    <x v="0"/>
  </r>
  <r>
    <x v="12"/>
    <n v="50"/>
    <n v="3813244.68"/>
    <n v="1370334.92"/>
    <n v="164440.19"/>
    <n v="5348019.79"/>
    <d v="2029-02-17T00:00:00"/>
    <x v="4"/>
    <x v="1"/>
    <x v="0"/>
  </r>
  <r>
    <x v="15"/>
    <n v="43"/>
    <n v="3185672.86"/>
    <n v="2588836.71"/>
    <n v="310919.28000000003"/>
    <n v="6085428.8499999996"/>
    <d v="2029-02-17T00:00:00"/>
    <x v="0"/>
    <x v="1"/>
    <x v="0"/>
  </r>
  <r>
    <x v="16"/>
    <n v="56"/>
    <n v="8958333.3300000001"/>
    <n v="981735.16"/>
    <n v="117808.22000000067"/>
    <n v="10057876.710000001"/>
    <d v="2029-02-18T00:00:00"/>
    <x v="1"/>
    <x v="1"/>
    <x v="0"/>
  </r>
  <r>
    <x v="0"/>
    <n v="55"/>
    <n v="1739016.22"/>
    <n v="2850408.03"/>
    <n v="342048.96"/>
    <n v="4931473.21"/>
    <d v="2029-02-19T00:00:00"/>
    <x v="0"/>
    <x v="1"/>
    <x v="0"/>
  </r>
  <r>
    <x v="17"/>
    <n v="54"/>
    <n v="6521310.9199999999"/>
    <n v="10689030.039999999"/>
    <n v="1282683.6000000001"/>
    <n v="18493024.559999999"/>
    <d v="2029-02-19T00:00:00"/>
    <x v="0"/>
    <x v="1"/>
    <x v="0"/>
  </r>
  <r>
    <x v="19"/>
    <n v="50"/>
    <n v="2580332.15"/>
    <n v="2325985.14"/>
    <n v="279118.2"/>
    <n v="5185435.49"/>
    <d v="2029-02-26T00:00:00"/>
    <x v="5"/>
    <x v="1"/>
    <x v="0"/>
  </r>
  <r>
    <x v="20"/>
    <n v="56"/>
    <n v="5790871.4851192441"/>
    <n v="2662312.2831401825"/>
    <n v="319477.47397682187"/>
    <n v="8772661.2422362491"/>
    <d v="2029-02-27T00:00:00"/>
    <x v="5"/>
    <x v="1"/>
    <x v="0"/>
  </r>
  <r>
    <x v="13"/>
    <n v="53"/>
    <n v="6236802.6699999999"/>
    <n v="1538566.73"/>
    <n v="184628.00999999978"/>
    <n v="7959997.4100000001"/>
    <d v="2029-02-27T00:00:00"/>
    <x v="4"/>
    <x v="1"/>
    <x v="0"/>
  </r>
  <r>
    <x v="23"/>
    <n v="50"/>
    <n v="5386884.8700000001"/>
    <n v="1873135.35"/>
    <n v="224776.24"/>
    <n v="7484796.46"/>
    <d v="2029-02-27T00:00:00"/>
    <x v="7"/>
    <x v="1"/>
    <x v="0"/>
  </r>
  <r>
    <x v="2"/>
    <n v="56"/>
    <n v="7916666.6699999999"/>
    <n v="759132.42"/>
    <n v="91095.890000000596"/>
    <n v="8766894.9800000004"/>
    <d v="2029-03-02T00:00:00"/>
    <x v="1"/>
    <x v="1"/>
    <x v="0"/>
  </r>
  <r>
    <x v="3"/>
    <n v="67"/>
    <n v="2288005.1893781484"/>
    <n v="443992.66146909969"/>
    <n v="53279.119376291965"/>
    <n v="2785276.97022354"/>
    <d v="2029-03-02T00:00:00"/>
    <x v="0"/>
    <x v="1"/>
    <x v="0"/>
  </r>
  <r>
    <x v="5"/>
    <n v="1"/>
    <n v="8080138.54"/>
    <n v="14442000"/>
    <n v="1733040"/>
    <n v="24255178.539999999"/>
    <d v="2025-03-07T00:00:00"/>
    <x v="0"/>
    <x v="0"/>
    <x v="0"/>
  </r>
  <r>
    <x v="5"/>
    <n v="2"/>
    <n v="8267239.5700000003"/>
    <n v="14354657.66"/>
    <n v="1722558.91"/>
    <n v="24344456.140000001"/>
    <d v="2025-04-07T00:00:00"/>
    <x v="0"/>
    <x v="0"/>
    <x v="0"/>
  </r>
  <r>
    <x v="5"/>
    <n v="3"/>
    <n v="8508461.7599999998"/>
    <n v="14113435.470000001"/>
    <n v="1693612.25"/>
    <n v="24315509.48"/>
    <d v="2025-05-07T00:00:00"/>
    <x v="0"/>
    <x v="0"/>
    <x v="0"/>
  </r>
  <r>
    <x v="5"/>
    <n v="4"/>
    <n v="8756722.3599999994"/>
    <n v="13865174.869999999"/>
    <n v="1663820.98"/>
    <n v="24285718.209999997"/>
    <d v="2025-06-07T00:00:00"/>
    <x v="0"/>
    <x v="0"/>
    <x v="0"/>
  </r>
  <r>
    <x v="5"/>
    <n v="5"/>
    <n v="9012226.7200000007"/>
    <n v="13609670.51"/>
    <n v="1633160.46"/>
    <n v="24255057.690000001"/>
    <d v="2025-07-07T00:00:00"/>
    <x v="0"/>
    <x v="0"/>
    <x v="0"/>
  </r>
  <r>
    <x v="5"/>
    <n v="6"/>
    <n v="9275186.2100000009"/>
    <n v="13346711.02"/>
    <n v="1601605.33"/>
    <n v="24223502.560000002"/>
    <d v="2025-08-07T00:00:00"/>
    <x v="0"/>
    <x v="0"/>
    <x v="0"/>
  </r>
  <r>
    <x v="4"/>
    <n v="52"/>
    <n v="14166666.67"/>
    <n v="3129863.01"/>
    <n v="375583.5700000003"/>
    <n v="17672113.25"/>
    <d v="2029-03-04T00:00:00"/>
    <x v="1"/>
    <x v="1"/>
    <x v="0"/>
  </r>
  <r>
    <x v="8"/>
    <n v="44"/>
    <n v="2973341.81"/>
    <n v="7583460.1200000001"/>
    <n v="910773.56"/>
    <n v="11467575.49"/>
    <d v="2029-03-13T00:00:00"/>
    <x v="0"/>
    <x v="1"/>
    <x v="0"/>
  </r>
  <r>
    <x v="10"/>
    <n v="53"/>
    <n v="11536544.511324283"/>
    <n v="2510475.1321416376"/>
    <n v="301257.01585699653"/>
    <n v="14348276.659322917"/>
    <d v="2029-03-17T00:00:00"/>
    <x v="3"/>
    <x v="1"/>
    <x v="0"/>
  </r>
  <r>
    <x v="11"/>
    <n v="53"/>
    <n v="2083333.33"/>
    <n v="409132.42"/>
    <n v="49095.89000000013"/>
    <n v="2541561.64"/>
    <d v="2029-03-17T00:00:00"/>
    <x v="1"/>
    <x v="1"/>
    <x v="0"/>
  </r>
  <r>
    <x v="18"/>
    <n v="51"/>
    <n v="7578291.2300000004"/>
    <n v="2443296"/>
    <n v="293195.52000000002"/>
    <n v="10314782.75"/>
    <d v="2029-03-17T00:00:00"/>
    <x v="4"/>
    <x v="1"/>
    <x v="0"/>
  </r>
  <r>
    <x v="12"/>
    <n v="51"/>
    <n v="3919805.8"/>
    <n v="1263773.8"/>
    <n v="151652.85999999999"/>
    <n v="5335232.46"/>
    <d v="2029-03-17T00:00:00"/>
    <x v="4"/>
    <x v="1"/>
    <x v="0"/>
  </r>
  <r>
    <x v="15"/>
    <n v="44"/>
    <n v="3292698.38"/>
    <n v="2481811.19"/>
    <n v="298065.52"/>
    <n v="6072575.0899999999"/>
    <d v="2029-03-17T00:00:00"/>
    <x v="0"/>
    <x v="1"/>
    <x v="0"/>
  </r>
  <r>
    <x v="16"/>
    <n v="57"/>
    <n v="8958333.3300000001"/>
    <n v="687214.61"/>
    <n v="82465.75"/>
    <n v="9728013.6899999995"/>
    <d v="2029-03-18T00:00:00"/>
    <x v="1"/>
    <x v="1"/>
    <x v="0"/>
  </r>
  <r>
    <x v="0"/>
    <n v="56"/>
    <n v="1796189.36"/>
    <n v="2793234.89"/>
    <n v="335188.18"/>
    <n v="4924612.43"/>
    <d v="2029-03-19T00:00:00"/>
    <x v="0"/>
    <x v="1"/>
    <x v="0"/>
  </r>
  <r>
    <x v="17"/>
    <n v="55"/>
    <n v="6735710.1900000004"/>
    <n v="10474630.77"/>
    <n v="1256955.69"/>
    <n v="18467296.649999999"/>
    <d v="2029-03-19T00:00:00"/>
    <x v="0"/>
    <x v="1"/>
    <x v="0"/>
  </r>
  <r>
    <x v="19"/>
    <n v="51"/>
    <n v="2653441.56"/>
    <n v="2252875.73"/>
    <n v="270345.08"/>
    <n v="5176662.37"/>
    <d v="2029-03-26T00:00:00"/>
    <x v="5"/>
    <x v="1"/>
    <x v="0"/>
  </r>
  <r>
    <x v="20"/>
    <n v="57"/>
    <n v="5921166.0935344268"/>
    <n v="2532017.6747249998"/>
    <n v="303842.12096699997"/>
    <n v="8757025.8892264273"/>
    <d v="2029-03-27T00:00:00"/>
    <x v="5"/>
    <x v="1"/>
    <x v="0"/>
  </r>
  <r>
    <x v="13"/>
    <n v="54"/>
    <n v="6411090.1200000001"/>
    <n v="1364279.28"/>
    <n v="163713.50999999978"/>
    <n v="7939082.9100000001"/>
    <d v="2029-03-27T00:00:00"/>
    <x v="4"/>
    <x v="1"/>
    <x v="0"/>
  </r>
  <r>
    <x v="23"/>
    <n v="51"/>
    <n v="5535024.2000000002"/>
    <n v="1724996.02"/>
    <n v="206999.52"/>
    <n v="7467019.7400000002"/>
    <d v="2029-03-27T00:00:00"/>
    <x v="7"/>
    <x v="1"/>
    <x v="0"/>
  </r>
  <r>
    <x v="2"/>
    <n v="57"/>
    <n v="7916666.6699999999"/>
    <n v="672374.43"/>
    <n v="80684.939999999478"/>
    <n v="8669726.0399999991"/>
    <d v="2029-04-02T00:00:00"/>
    <x v="1"/>
    <x v="1"/>
    <x v="0"/>
  </r>
  <r>
    <x v="3"/>
    <n v="68"/>
    <n v="2356645.3450594926"/>
    <n v="375352.50578775525"/>
    <n v="45042.300694530626"/>
    <n v="2777040.1515417784"/>
    <d v="2029-04-02T00:00:00"/>
    <x v="0"/>
    <x v="1"/>
    <x v="0"/>
  </r>
  <r>
    <x v="4"/>
    <n v="53"/>
    <n v="14166666.67"/>
    <n v="2980821.91"/>
    <n v="357698.63000000082"/>
    <n v="17505187.210000001"/>
    <d v="2029-04-04T00:00:00"/>
    <x v="1"/>
    <x v="1"/>
    <x v="0"/>
  </r>
  <r>
    <x v="8"/>
    <n v="45"/>
    <n v="3066666.05"/>
    <n v="7490135.8799999999"/>
    <n v="899565.32"/>
    <n v="11456367.25"/>
    <d v="2029-04-13T00:00:00"/>
    <x v="0"/>
    <x v="1"/>
    <x v="0"/>
  </r>
  <r>
    <x v="10"/>
    <n v="54"/>
    <n v="11823996.745398114"/>
    <n v="2223022.8980678073"/>
    <n v="266762.74776813691"/>
    <n v="14313782.391234057"/>
    <d v="2029-04-17T00:00:00"/>
    <x v="3"/>
    <x v="1"/>
    <x v="0"/>
  </r>
  <r>
    <x v="11"/>
    <n v="54"/>
    <n v="2083333.33"/>
    <n v="370776.26"/>
    <n v="44493.150000000373"/>
    <n v="2498602.7400000002"/>
    <d v="2029-04-17T00:00:00"/>
    <x v="1"/>
    <x v="1"/>
    <x v="0"/>
  </r>
  <r>
    <x v="18"/>
    <n v="52"/>
    <n v="7790066.5800000001"/>
    <n v="2231520.65"/>
    <n v="267782.48"/>
    <n v="10289369.710000001"/>
    <d v="2029-04-17T00:00:00"/>
    <x v="4"/>
    <x v="1"/>
    <x v="0"/>
  </r>
  <r>
    <x v="12"/>
    <n v="52"/>
    <n v="4029344.77"/>
    <n v="1154234.83"/>
    <n v="138508.18"/>
    <n v="5322087.78"/>
    <d v="2029-04-17T00:00:00"/>
    <x v="4"/>
    <x v="1"/>
    <x v="0"/>
  </r>
  <r>
    <x v="15"/>
    <n v="45"/>
    <n v="3403319.51"/>
    <n v="2371190.06"/>
    <n v="284779.93"/>
    <n v="6059289.5"/>
    <d v="2029-04-17T00:00:00"/>
    <x v="0"/>
    <x v="1"/>
    <x v="0"/>
  </r>
  <r>
    <x v="16"/>
    <n v="58"/>
    <n v="8958333.3300000001"/>
    <n v="552226.03"/>
    <n v="66267.120000001043"/>
    <n v="9576826.4800000004"/>
    <d v="2029-04-18T00:00:00"/>
    <x v="1"/>
    <x v="1"/>
    <x v="0"/>
  </r>
  <r>
    <x v="0"/>
    <n v="57"/>
    <n v="1855242.16"/>
    <n v="2734182.09"/>
    <n v="328101.84999999998"/>
    <n v="4917526.0999999996"/>
    <d v="2029-04-19T00:00:00"/>
    <x v="0"/>
    <x v="1"/>
    <x v="0"/>
  </r>
  <r>
    <x v="17"/>
    <n v="56"/>
    <n v="6957158.1900000004"/>
    <n v="10253182.77"/>
    <n v="1230381.93"/>
    <n v="18440722.890000001"/>
    <d v="2029-04-19T00:00:00"/>
    <x v="0"/>
    <x v="1"/>
    <x v="0"/>
  </r>
  <r>
    <x v="19"/>
    <n v="52"/>
    <n v="2728622.41"/>
    <n v="2177694.88"/>
    <n v="261323.38"/>
    <n v="5167640.67"/>
    <d v="2029-04-26T00:00:00"/>
    <x v="5"/>
    <x v="1"/>
    <x v="0"/>
  </r>
  <r>
    <x v="20"/>
    <n v="58"/>
    <n v="6054392.3306389516"/>
    <n v="2398791.437620475"/>
    <n v="287854.97251445701"/>
    <n v="8741038.7407738827"/>
    <d v="2029-04-27T00:00:00"/>
    <x v="5"/>
    <x v="1"/>
    <x v="0"/>
  </r>
  <r>
    <x v="13"/>
    <n v="55"/>
    <n v="6590248.0300000003"/>
    <n v="1185121.3700000001"/>
    <n v="142214.55999999959"/>
    <n v="7917583.96"/>
    <d v="2029-04-27T00:00:00"/>
    <x v="4"/>
    <x v="1"/>
    <x v="0"/>
  </r>
  <r>
    <x v="23"/>
    <n v="52"/>
    <n v="5687237.3700000001"/>
    <n v="1572782.85"/>
    <n v="188733.94"/>
    <n v="7448754.1600000001"/>
    <d v="2029-04-27T00:00:00"/>
    <x v="7"/>
    <x v="1"/>
    <x v="0"/>
  </r>
  <r>
    <x v="24"/>
    <n v="1"/>
    <n v="27777777.777777776"/>
    <n v="15576037.800000001"/>
    <n v="1869124.5360000001"/>
    <n v="45222940.113777772"/>
    <d v="2025-04-28T00:00:00"/>
    <x v="4"/>
    <x v="0"/>
    <x v="0"/>
  </r>
  <r>
    <x v="24"/>
    <n v="2"/>
    <n v="27777777.777777776"/>
    <n v="16372733.52876984"/>
    <n v="1964728.0234523807"/>
    <n v="46115239.329999998"/>
    <d v="2025-05-28T00:00:00"/>
    <x v="4"/>
    <x v="0"/>
    <x v="0"/>
  </r>
  <r>
    <x v="24"/>
    <n v="3"/>
    <n v="27777777.777777776"/>
    <n v="13585185.185185185"/>
    <n v="1630222.2222222222"/>
    <n v="42993185.185185187"/>
    <d v="2025-06-28T00:00:00"/>
    <x v="4"/>
    <x v="0"/>
    <x v="0"/>
  </r>
  <r>
    <x v="24"/>
    <n v="4"/>
    <n v="27777777.777777776"/>
    <n v="12736111.11111111"/>
    <n v="1528333.3333333333"/>
    <n v="42042222.222222216"/>
    <d v="2025-07-28T00:00:00"/>
    <x v="4"/>
    <x v="0"/>
    <x v="0"/>
  </r>
  <r>
    <x v="24"/>
    <n v="5"/>
    <n v="27777777.777777776"/>
    <n v="13311776.573412698"/>
    <n v="1597413.1888095236"/>
    <n v="42686967.539999999"/>
    <d v="2025-08-28T00:00:00"/>
    <x v="4"/>
    <x v="0"/>
    <x v="0"/>
  </r>
  <r>
    <x v="2"/>
    <n v="58"/>
    <n v="7916666.6699999999"/>
    <n v="488013.7"/>
    <n v="58561.649999999441"/>
    <n v="8463242.0199999996"/>
    <d v="2029-05-02T00:00:00"/>
    <x v="1"/>
    <x v="1"/>
    <x v="0"/>
  </r>
  <r>
    <x v="3"/>
    <n v="69"/>
    <n v="2427344.7054112777"/>
    <n v="304653.14543597045"/>
    <n v="36558.377452316454"/>
    <n v="2768556.2282995647"/>
    <d v="2029-05-02T00:00:00"/>
    <x v="0"/>
    <x v="1"/>
    <x v="0"/>
  </r>
  <r>
    <x v="4"/>
    <n v="54"/>
    <n v="14166666.67"/>
    <n v="2608219.17"/>
    <n v="312986.30000000075"/>
    <n v="17087872.140000001"/>
    <d v="2029-05-04T00:00:00"/>
    <x v="1"/>
    <x v="1"/>
    <x v="0"/>
  </r>
  <r>
    <x v="8"/>
    <n v="46"/>
    <n v="3162919.46"/>
    <n v="7393882.4699999997"/>
    <n v="888005.29"/>
    <n v="11444807.219999999"/>
    <d v="2029-05-13T00:00:00"/>
    <x v="0"/>
    <x v="1"/>
    <x v="0"/>
  </r>
  <r>
    <x v="10"/>
    <n v="55"/>
    <n v="12118611.33097095"/>
    <n v="1928408.3124949709"/>
    <n v="231408.9974993965"/>
    <n v="14278428.640965318"/>
    <d v="2029-05-17T00:00:00"/>
    <x v="3"/>
    <x v="1"/>
    <x v="0"/>
  </r>
  <r>
    <x v="11"/>
    <n v="55"/>
    <n v="2083333.33"/>
    <n v="328767.13"/>
    <n v="39452.060000000056"/>
    <n v="2451552.52"/>
    <d v="2029-05-17T00:00:00"/>
    <x v="1"/>
    <x v="1"/>
    <x v="0"/>
  </r>
  <r>
    <x v="18"/>
    <n v="53"/>
    <n v="8007759.9900000002"/>
    <n v="2013827.24"/>
    <n v="241659.27"/>
    <n v="10263246.5"/>
    <d v="2029-05-17T00:00:00"/>
    <x v="4"/>
    <x v="1"/>
    <x v="0"/>
  </r>
  <r>
    <x v="12"/>
    <n v="53"/>
    <n v="4141944.81"/>
    <n v="1041634.79"/>
    <n v="124996.17"/>
    <n v="5308575.7699999996"/>
    <d v="2029-05-17T00:00:00"/>
    <x v="4"/>
    <x v="1"/>
    <x v="0"/>
  </r>
  <r>
    <x v="15"/>
    <n v="46"/>
    <n v="3517657.06"/>
    <n v="2256852.5099999998"/>
    <n v="271047.99"/>
    <n v="6045557.5599999996"/>
    <d v="2029-05-17T00:00:00"/>
    <x v="0"/>
    <x v="1"/>
    <x v="0"/>
  </r>
  <r>
    <x v="16"/>
    <n v="59"/>
    <n v="8958333.3300000001"/>
    <n v="368150.69"/>
    <n v="44178.080000000075"/>
    <n v="9370662.0999999996"/>
    <d v="2029-05-18T00:00:00"/>
    <x v="1"/>
    <x v="1"/>
    <x v="0"/>
  </r>
  <r>
    <x v="0"/>
    <n v="58"/>
    <n v="1916236.42"/>
    <n v="2673187.83"/>
    <n v="320782.53999999998"/>
    <n v="4910206.79"/>
    <d v="2029-05-19T00:00:00"/>
    <x v="0"/>
    <x v="1"/>
    <x v="0"/>
  </r>
  <r>
    <x v="17"/>
    <n v="57"/>
    <n v="7185886.6799999997"/>
    <n v="10024454.279999999"/>
    <n v="1202934.51"/>
    <n v="18413275.469999999"/>
    <d v="2029-05-19T00:00:00"/>
    <x v="0"/>
    <x v="1"/>
    <x v="0"/>
  </r>
  <r>
    <x v="19"/>
    <n v="53"/>
    <n v="2805933.38"/>
    <n v="2100383.91"/>
    <n v="252046.06"/>
    <n v="5158363.3499999996"/>
    <d v="2029-05-26T00:00:00"/>
    <x v="5"/>
    <x v="1"/>
    <x v="0"/>
  </r>
  <r>
    <x v="22"/>
    <n v="1"/>
    <n v="27777777.777777776"/>
    <n v="15576037.800000001"/>
    <n v="1869124.5360000001"/>
    <n v="45222940.113777772"/>
    <d v="2025-04-25T00:00:00"/>
    <x v="4"/>
    <x v="0"/>
    <x v="0"/>
  </r>
  <r>
    <x v="22"/>
    <n v="2"/>
    <n v="27777777.777777776"/>
    <n v="16372733.52876984"/>
    <n v="1964728.0234523807"/>
    <n v="46115239.329999998"/>
    <d v="2025-05-25T00:00:00"/>
    <x v="4"/>
    <x v="0"/>
    <x v="0"/>
  </r>
  <r>
    <x v="22"/>
    <n v="3"/>
    <n v="27777777.777777776"/>
    <n v="13585185.185185185"/>
    <n v="1630222.2222222222"/>
    <n v="42993185.185185187"/>
    <d v="2025-06-25T00:00:00"/>
    <x v="4"/>
    <x v="0"/>
    <x v="0"/>
  </r>
  <r>
    <x v="22"/>
    <n v="4"/>
    <n v="27777777.777777776"/>
    <n v="12736111.11111111"/>
    <n v="1528333.3333333333"/>
    <n v="42042222.222222216"/>
    <d v="2025-07-25T00:00:00"/>
    <x v="4"/>
    <x v="0"/>
    <x v="0"/>
  </r>
  <r>
    <x v="22"/>
    <n v="5"/>
    <n v="27777777.777777776"/>
    <n v="13311776.573412698"/>
    <n v="1597413.1888095236"/>
    <n v="42686967.539999999"/>
    <d v="2025-08-25T00:00:00"/>
    <x v="4"/>
    <x v="0"/>
    <x v="0"/>
  </r>
  <r>
    <x v="13"/>
    <n v="56"/>
    <n v="6774412.5099999998"/>
    <n v="1000956.89"/>
    <n v="120114.8200000003"/>
    <n v="7895484.2199999997"/>
    <d v="2029-05-27T00:00:00"/>
    <x v="4"/>
    <x v="1"/>
    <x v="0"/>
  </r>
  <r>
    <x v="23"/>
    <n v="53"/>
    <n v="5843636.4000000004"/>
    <n v="1416383.82"/>
    <n v="169966.06"/>
    <n v="7429986.2800000003"/>
    <d v="2029-05-27T00:00:00"/>
    <x v="7"/>
    <x v="1"/>
    <x v="0"/>
  </r>
  <r>
    <x v="2"/>
    <n v="59"/>
    <n v="7916666.6699999999"/>
    <n v="357876.71"/>
    <n v="42945.200000000186"/>
    <n v="8317488.5800000001"/>
    <d v="2029-06-02T00:00:00"/>
    <x v="1"/>
    <x v="1"/>
    <x v="0"/>
  </r>
  <r>
    <x v="3"/>
    <n v="70"/>
    <n v="2500165.0465736156"/>
    <n v="231832.80427363212"/>
    <n v="27819.936512835855"/>
    <n v="2759817.7873600838"/>
    <d v="2029-06-02T00:00:00"/>
    <x v="0"/>
    <x v="1"/>
    <x v="0"/>
  </r>
  <r>
    <x v="4"/>
    <n v="55"/>
    <n v="14166666.67"/>
    <n v="2310136.98"/>
    <n v="277216.4299999997"/>
    <n v="16754020.08"/>
    <d v="2029-06-04T00:00:00"/>
    <x v="1"/>
    <x v="1"/>
    <x v="0"/>
  </r>
  <r>
    <x v="8"/>
    <n v="47"/>
    <n v="3262193.97"/>
    <n v="7294607.96"/>
    <n v="876082.42"/>
    <n v="11432884.35"/>
    <d v="2029-06-13T00:00:00"/>
    <x v="0"/>
    <x v="1"/>
    <x v="0"/>
  </r>
  <r>
    <x v="10"/>
    <n v="56"/>
    <n v="12420566.729967643"/>
    <n v="1626452.913498278"/>
    <n v="195174.34961979336"/>
    <n v="14242193.993085714"/>
    <d v="2029-06-17T00:00:00"/>
    <x v="3"/>
    <x v="1"/>
    <x v="0"/>
  </r>
  <r>
    <x v="11"/>
    <n v="56"/>
    <n v="2083333.33"/>
    <n v="292237.45"/>
    <n v="35068.489999999758"/>
    <n v="2410639.27"/>
    <d v="2029-06-17T00:00:00"/>
    <x v="1"/>
    <x v="1"/>
    <x v="0"/>
  </r>
  <r>
    <x v="18"/>
    <n v="54"/>
    <n v="8231536.8399999999"/>
    <n v="1790050.39"/>
    <n v="214806.05"/>
    <n v="10236393.279999999"/>
    <d v="2029-06-17T00:00:00"/>
    <x v="4"/>
    <x v="1"/>
    <x v="0"/>
  </r>
  <r>
    <x v="12"/>
    <n v="54"/>
    <n v="4257691.46"/>
    <n v="925888.14"/>
    <n v="111106.57"/>
    <n v="5294686.17"/>
    <d v="2029-06-17T00:00:00"/>
    <x v="4"/>
    <x v="1"/>
    <x v="0"/>
  </r>
  <r>
    <x v="15"/>
    <n v="47"/>
    <n v="3635835.88"/>
    <n v="2138673.69"/>
    <n v="256854.72"/>
    <n v="6031364.29"/>
    <d v="2029-06-17T00:00:00"/>
    <x v="0"/>
    <x v="1"/>
    <x v="0"/>
  </r>
  <r>
    <x v="16"/>
    <n v="60"/>
    <n v="8958333.3300000001"/>
    <n v="190211.19"/>
    <n v="22825.339999999851"/>
    <n v="9171369.8599999994"/>
    <d v="2029-06-18T00:00:00"/>
    <x v="1"/>
    <x v="1"/>
    <x v="0"/>
  </r>
  <r>
    <x v="14"/>
    <n v="1"/>
    <n v="7951484.0946653597"/>
    <n v="14843750"/>
    <n v="1781250"/>
    <n v="24576484.09466536"/>
    <d v="2025-04-17T00:00:00"/>
    <x v="0"/>
    <x v="0"/>
    <x v="0"/>
  </r>
  <r>
    <x v="14"/>
    <n v="2"/>
    <n v="8187543.7787257377"/>
    <n v="14607690.315939622"/>
    <n v="1752922.8379127546"/>
    <n v="24548156.932578113"/>
    <d v="2025-05-17T00:00:00"/>
    <x v="0"/>
    <x v="0"/>
    <x v="0"/>
  </r>
  <r>
    <x v="14"/>
    <n v="3"/>
    <n v="8430611.484656658"/>
    <n v="14364622.610008702"/>
    <n v="1723754.7132010441"/>
    <n v="24518988.807866402"/>
    <d v="2025-06-17T00:00:00"/>
    <x v="0"/>
    <x v="0"/>
    <x v="0"/>
  </r>
  <r>
    <x v="14"/>
    <n v="4"/>
    <n v="8680895.2631074023"/>
    <n v="14114338.831557957"/>
    <n v="1693720.659786955"/>
    <n v="24488954.754452314"/>
    <d v="2025-07-17T00:00:00"/>
    <x v="0"/>
    <x v="0"/>
    <x v="0"/>
  </r>
  <r>
    <x v="14"/>
    <n v="5"/>
    <n v="8938609.3412309028"/>
    <n v="13856624.753434457"/>
    <n v="1662794.9704121349"/>
    <n v="24458029.065077495"/>
    <d v="2025-08-17T00:00:00"/>
    <x v="0"/>
    <x v="0"/>
    <x v="0"/>
  </r>
  <r>
    <x v="0"/>
    <n v="59"/>
    <n v="1979235.98"/>
    <n v="2610188.27"/>
    <n v="313222.59000000003"/>
    <n v="4902646.84"/>
    <d v="2029-06-19T00:00:00"/>
    <x v="0"/>
    <x v="1"/>
    <x v="0"/>
  </r>
  <r>
    <x v="17"/>
    <n v="58"/>
    <n v="7422135"/>
    <m/>
    <m/>
    <m/>
    <d v="2029-06-19T00:00:00"/>
    <x v="0"/>
    <x v="1"/>
    <x v="0"/>
  </r>
  <r>
    <x v="19"/>
    <n v="54"/>
    <n v="2885434.82"/>
    <n v="2020882.47"/>
    <n v="242505.88"/>
    <n v="5148823.17"/>
    <d v="2029-06-26T00:00:00"/>
    <x v="5"/>
    <x v="1"/>
    <x v="0"/>
  </r>
  <r>
    <x v="20"/>
    <n v="60"/>
    <n v="6329905.02163509"/>
    <n v="2123278.7466243366"/>
    <n v="254793.44959492038"/>
    <n v="8707977.2178543471"/>
    <d v="2029-06-27T00:00:00"/>
    <x v="5"/>
    <x v="1"/>
    <x v="0"/>
  </r>
  <r>
    <x v="13"/>
    <n v="57"/>
    <n v="6963723.4699999997"/>
    <n v="811645.93"/>
    <n v="97397.510000000708"/>
    <n v="7872766.9100000001"/>
    <d v="2029-06-27T00:00:00"/>
    <x v="4"/>
    <x v="1"/>
    <x v="0"/>
  </r>
  <r>
    <x v="23"/>
    <n v="54"/>
    <n v="6004336.4000000004"/>
    <n v="1255683.82"/>
    <n v="150682.06"/>
    <n v="7410702.2800000003"/>
    <d v="2029-06-27T00:00:00"/>
    <x v="7"/>
    <x v="1"/>
    <x v="0"/>
  </r>
  <r>
    <x v="2"/>
    <n v="60"/>
    <n v="7916666.5099999998"/>
    <n v="151826.48000000001"/>
    <n v="18219.179999999702"/>
    <n v="8086712.1699999999"/>
    <d v="2029-07-02T00:00:00"/>
    <x v="1"/>
    <x v="1"/>
    <x v="0"/>
  </r>
  <r>
    <x v="3"/>
    <n v="71"/>
    <n v="2575169.9979708241"/>
    <n v="156827.85287642365"/>
    <n v="18819.342345170837"/>
    <n v="2750817.1931924187"/>
    <d v="2029-07-02T00:00:00"/>
    <x v="0"/>
    <x v="1"/>
    <x v="0"/>
  </r>
  <r>
    <x v="4"/>
    <n v="56"/>
    <n v="14166666.67"/>
    <n v="1863013.69"/>
    <n v="223561.65000000037"/>
    <n v="16253242.01"/>
    <d v="2029-07-04T00:00:00"/>
    <x v="1"/>
    <x v="1"/>
    <x v="0"/>
  </r>
  <r>
    <x v="8"/>
    <n v="48"/>
    <n v="3364584.4"/>
    <n v="7192217.5300000003"/>
    <n v="863785.32"/>
    <n v="11420587.25"/>
    <d v="2029-07-13T00:00:00"/>
    <x v="0"/>
    <x v="1"/>
    <x v="0"/>
  </r>
  <r>
    <x v="10"/>
    <n v="57"/>
    <n v="12730045.850989338"/>
    <n v="1316973.7924765842"/>
    <n v="158036.8550971901"/>
    <n v="14205056.498563113"/>
    <d v="2029-07-17T00:00:00"/>
    <x v="3"/>
    <x v="1"/>
    <x v="0"/>
  </r>
  <r>
    <x v="11"/>
    <n v="57"/>
    <n v="2083333.33"/>
    <n v="211872.15"/>
    <n v="25424.660000000149"/>
    <n v="2320630.14"/>
    <d v="2029-07-17T00:00:00"/>
    <x v="1"/>
    <x v="1"/>
    <x v="0"/>
  </r>
  <r>
    <x v="18"/>
    <n v="55"/>
    <n v="8461567.1400000006"/>
    <n v="1560020.09"/>
    <n v="187202.41"/>
    <n v="10208789.640000001"/>
    <d v="2029-07-17T00:00:00"/>
    <x v="4"/>
    <x v="1"/>
    <x v="0"/>
  </r>
  <r>
    <x v="12"/>
    <n v="55"/>
    <n v="4376672.6500000004"/>
    <n v="806906.95"/>
    <n v="96828.83"/>
    <n v="5280408.43"/>
    <d v="2029-07-17T00:00:00"/>
    <x v="4"/>
    <x v="1"/>
    <x v="0"/>
  </r>
  <r>
    <x v="15"/>
    <n v="48"/>
    <n v="3757985.02"/>
    <n v="2016524.55"/>
    <n v="242184.6"/>
    <n v="6016694.1699999999"/>
    <d v="2029-07-17T00:00:00"/>
    <x v="0"/>
    <x v="1"/>
    <x v="0"/>
  </r>
  <r>
    <x v="0"/>
    <n v="60"/>
    <n v="2044306.75"/>
    <n v="2545117.5"/>
    <n v="305414.09999999998"/>
    <n v="4894838.3499999996"/>
    <d v="2029-07-19T00:00:00"/>
    <x v="0"/>
    <x v="1"/>
    <x v="0"/>
  </r>
  <r>
    <x v="17"/>
    <n v="59"/>
    <n v="7666150.4000000004"/>
    <m/>
    <m/>
    <m/>
    <d v="2029-07-19T00:00:00"/>
    <x v="0"/>
    <x v="1"/>
    <x v="0"/>
  </r>
  <r>
    <x v="19"/>
    <n v="55"/>
    <n v="2967188.81"/>
    <n v="1939128.48"/>
    <n v="232695.41"/>
    <n v="5139012.7"/>
    <d v="2029-07-26T00:00:00"/>
    <x v="5"/>
    <x v="1"/>
    <x v="0"/>
  </r>
  <r>
    <x v="20"/>
    <n v="61"/>
    <n v="6472327.8846218791"/>
    <n v="1980855.883637547"/>
    <n v="237702.70603650564"/>
    <n v="8690886.4742959309"/>
    <d v="2029-07-27T00:00:00"/>
    <x v="5"/>
    <x v="1"/>
    <x v="0"/>
  </r>
  <r>
    <x v="13"/>
    <n v="58"/>
    <n v="7158324.7199999997"/>
    <n v="617044.68000000005"/>
    <n v="74045.360000000335"/>
    <n v="7849414.7599999998"/>
    <d v="2029-07-27T00:00:00"/>
    <x v="4"/>
    <x v="1"/>
    <x v="0"/>
  </r>
  <r>
    <x v="23"/>
    <n v="55"/>
    <n v="6169455.6500000004"/>
    <n v="1090564.57"/>
    <n v="130867.75"/>
    <n v="7390887.9699999997"/>
    <d v="2029-07-27T00:00:00"/>
    <x v="7"/>
    <x v="1"/>
    <x v="0"/>
  </r>
  <r>
    <x v="3"/>
    <n v="72"/>
    <n v="2652425.0979099493"/>
    <n v="79572.752937298937"/>
    <n v="9548.7303524758718"/>
    <n v="2741546.5811997242"/>
    <d v="2029-08-02T00:00:00"/>
    <x v="0"/>
    <x v="1"/>
    <x v="0"/>
  </r>
  <r>
    <x v="4"/>
    <n v="57"/>
    <n v="14166666.67"/>
    <n v="1639452.05"/>
    <n v="196734.25"/>
    <n v="16002852.970000001"/>
    <d v="2029-08-04T00:00:00"/>
    <x v="1"/>
    <x v="1"/>
    <x v="0"/>
  </r>
  <r>
    <x v="8"/>
    <n v="49"/>
    <n v="3470188.57"/>
    <n v="7086613.3600000003"/>
    <n v="851102.26"/>
    <n v="11407904.189999999"/>
    <d v="2029-08-13T00:00:00"/>
    <x v="0"/>
    <x v="1"/>
    <x v="0"/>
  </r>
  <r>
    <x v="10"/>
    <n v="58"/>
    <n v="13047236.160109822"/>
    <n v="999783.48335609981"/>
    <n v="119974.01800273197"/>
    <n v="14166993.661468653"/>
    <d v="2029-08-17T00:00:00"/>
    <x v="3"/>
    <x v="1"/>
    <x v="0"/>
  </r>
  <r>
    <x v="11"/>
    <n v="58"/>
    <n v="2083333.33"/>
    <n v="169863.02"/>
    <n v="20383.569999999832"/>
    <n v="2273579.92"/>
    <d v="2029-08-17T00:00:00"/>
    <x v="1"/>
    <x v="1"/>
    <x v="0"/>
  </r>
  <r>
    <x v="18"/>
    <n v="56"/>
    <n v="8698025.6300000008"/>
    <n v="1323561.6000000001"/>
    <n v="158827.39000000001"/>
    <n v="10180414.619999999"/>
    <d v="2029-08-17T00:00:00"/>
    <x v="4"/>
    <x v="1"/>
    <x v="0"/>
  </r>
  <r>
    <x v="12"/>
    <n v="56"/>
    <n v="4498978.7699999996"/>
    <n v="684600.83"/>
    <n v="82152.100000000006"/>
    <n v="5265731.7"/>
    <d v="2029-08-17T00:00:00"/>
    <x v="4"/>
    <x v="1"/>
    <x v="0"/>
  </r>
  <r>
    <x v="15"/>
    <n v="49"/>
    <n v="3884237.87"/>
    <n v="1890271.7"/>
    <n v="227021.64"/>
    <n v="6001531.21"/>
    <d v="2029-08-17T00:00:00"/>
    <x v="0"/>
    <x v="1"/>
    <x v="0"/>
  </r>
  <r>
    <x v="0"/>
    <n v="61"/>
    <n v="2111516.83"/>
    <n v="2477907.42"/>
    <n v="297348.89"/>
    <n v="4886773.1399999997"/>
    <d v="2029-08-19T00:00:00"/>
    <x v="0"/>
    <x v="1"/>
    <x v="0"/>
  </r>
  <r>
    <x v="17"/>
    <n v="60"/>
    <n v="7918188.2199999997"/>
    <m/>
    <m/>
    <m/>
    <d v="2029-08-19T00:00:00"/>
    <x v="0"/>
    <x v="1"/>
    <x v="0"/>
  </r>
  <r>
    <x v="32"/>
    <n v="1"/>
    <n v="36299340.000000477"/>
    <n v="438617.02500000002"/>
    <n v="52634.043000000005"/>
    <n v="36790591.068000481"/>
    <d v="2025-08-28T00:00:00"/>
    <x v="9"/>
    <x v="0"/>
    <x v="0"/>
  </r>
  <r>
    <x v="8"/>
    <n v="1"/>
    <n v="0"/>
    <n v="5963527.5"/>
    <n v="716219.65"/>
    <n v="6679747.1500000004"/>
    <d v="2025-08-13T00:00:00"/>
    <x v="0"/>
    <x v="0"/>
    <x v="0"/>
  </r>
  <r>
    <x v="19"/>
    <n v="56"/>
    <n v="3051259.16"/>
    <n v="1855058.13"/>
    <n v="222606.97"/>
    <n v="5128924.26"/>
    <d v="2029-08-26T00:00:00"/>
    <x v="5"/>
    <x v="1"/>
    <x v="0"/>
  </r>
  <r>
    <x v="20"/>
    <n v="62"/>
    <n v="6617955.2620258722"/>
    <n v="1835228.5062335548"/>
    <n v="220227.42074802658"/>
    <n v="8673411.1890074536"/>
    <d v="2029-08-27T00:00:00"/>
    <x v="5"/>
    <x v="1"/>
    <x v="0"/>
  </r>
  <r>
    <x v="13"/>
    <n v="59"/>
    <n v="7358364.1100000003"/>
    <n v="417005.29"/>
    <n v="50040.639999999665"/>
    <n v="7825410.04"/>
    <d v="2029-08-27T00:00:00"/>
    <x v="4"/>
    <x v="1"/>
    <x v="0"/>
  </r>
  <r>
    <x v="23"/>
    <n v="56"/>
    <n v="6339115.6799999997"/>
    <n v="920904.54"/>
    <n v="110508.55"/>
    <n v="7370528.7699999996"/>
    <d v="2029-08-27T00:00:00"/>
    <x v="7"/>
    <x v="1"/>
    <x v="0"/>
  </r>
  <r>
    <x v="4"/>
    <n v="58"/>
    <n v="14166666.67"/>
    <n v="1080547.94"/>
    <n v="129665.75"/>
    <n v="15376880.359999999"/>
    <d v="2029-09-04T00:00:00"/>
    <x v="1"/>
    <x v="1"/>
    <x v="0"/>
  </r>
  <r>
    <x v="8"/>
    <n v="50"/>
    <n v="3579107.33"/>
    <n v="6977694.5999999996"/>
    <n v="838021.12"/>
    <n v="11394823.049999999"/>
    <d v="2029-09-13T00:00:00"/>
    <x v="0"/>
    <x v="1"/>
    <x v="0"/>
  </r>
  <r>
    <x v="10"/>
    <n v="59"/>
    <n v="13372329.794432558"/>
    <n v="674689.8490333634"/>
    <n v="80962.781884003605"/>
    <n v="14127982.425349925"/>
    <d v="2029-09-17T00:00:00"/>
    <x v="3"/>
    <x v="1"/>
    <x v="0"/>
  </r>
  <r>
    <x v="11"/>
    <n v="59"/>
    <n v="2083333.33"/>
    <n v="113242.01"/>
    <n v="13589.039999999804"/>
    <n v="2210164.38"/>
    <d v="2029-09-17T00:00:00"/>
    <x v="1"/>
    <x v="1"/>
    <x v="0"/>
  </r>
  <r>
    <x v="18"/>
    <n v="57"/>
    <n v="8941091.9600000009"/>
    <n v="1080495.27"/>
    <n v="129659.43"/>
    <n v="10151246.66"/>
    <d v="2029-09-17T00:00:00"/>
    <x v="4"/>
    <x v="1"/>
    <x v="0"/>
  </r>
  <r>
    <x v="12"/>
    <n v="57"/>
    <n v="4624702.7300000004"/>
    <n v="558876.87"/>
    <n v="67065.22"/>
    <n v="5250644.82"/>
    <d v="2029-09-17T00:00:00"/>
    <x v="4"/>
    <x v="1"/>
    <x v="0"/>
  </r>
  <r>
    <x v="15"/>
    <n v="50"/>
    <n v="4014732.3"/>
    <n v="1759777.27"/>
    <n v="211349.25"/>
    <n v="5985858.8200000003"/>
    <d v="2029-09-17T00:00:00"/>
    <x v="0"/>
    <x v="1"/>
    <x v="0"/>
  </r>
  <r>
    <x v="0"/>
    <n v="62"/>
    <n v="2180936.56"/>
    <n v="2408487.69"/>
    <n v="289018.53000000003"/>
    <n v="4878442.78"/>
    <d v="2029-09-19T00:00:00"/>
    <x v="0"/>
    <x v="1"/>
    <x v="0"/>
  </r>
  <r>
    <x v="17"/>
    <n v="61"/>
    <n v="8178512.21"/>
    <m/>
    <m/>
    <m/>
    <d v="2029-09-19T00:00:00"/>
    <x v="0"/>
    <x v="1"/>
    <x v="0"/>
  </r>
  <r>
    <x v="19"/>
    <n v="57"/>
    <n v="3137711.5"/>
    <n v="1768605.79"/>
    <n v="212232.68"/>
    <n v="5118549.97"/>
    <d v="2029-09-26T00:00:00"/>
    <x v="5"/>
    <x v="1"/>
    <x v="0"/>
  </r>
  <r>
    <x v="20"/>
    <n v="63"/>
    <n v="6766859.2554214541"/>
    <n v="1686324.5128379725"/>
    <n v="202358.9415405567"/>
    <n v="8655542.7097999826"/>
    <d v="2029-09-27T00:00:00"/>
    <x v="5"/>
    <x v="1"/>
    <x v="0"/>
  </r>
  <r>
    <x v="13"/>
    <n v="60"/>
    <n v="7563993.9100000001"/>
    <n v="211375.81"/>
    <n v="25365.100000000559"/>
    <n v="7800734.8200000003"/>
    <d v="2029-09-27T00:00:00"/>
    <x v="4"/>
    <x v="1"/>
    <x v="0"/>
  </r>
  <r>
    <x v="23"/>
    <n v="57"/>
    <n v="6513441.3600000003"/>
    <n v="746578.86"/>
    <n v="89589.46"/>
    <n v="7349609.6799999997"/>
    <d v="2029-09-27T00:00:00"/>
    <x v="7"/>
    <x v="1"/>
    <x v="0"/>
  </r>
  <r>
    <x v="4"/>
    <n v="59"/>
    <n v="14166666.67"/>
    <n v="745205.48"/>
    <n v="89424.660000000149"/>
    <n v="15001296.810000001"/>
    <d v="2029-10-04T00:00:00"/>
    <x v="1"/>
    <x v="1"/>
    <x v="0"/>
  </r>
  <r>
    <x v="8"/>
    <n v="51"/>
    <n v="3691444.72"/>
    <n v="6865357.21"/>
    <n v="824529.41"/>
    <n v="11381331.34"/>
    <d v="2029-10-13T00:00:00"/>
    <x v="0"/>
    <x v="1"/>
    <x v="0"/>
  </r>
  <r>
    <x v="10"/>
    <n v="60"/>
    <n v="13705523.67847717"/>
    <n v="341495.96498875215"/>
    <n v="40979.51579865026"/>
    <n v="14087999.159264572"/>
    <d v="2029-10-17T00:00:00"/>
    <x v="3"/>
    <x v="1"/>
    <x v="0"/>
  </r>
  <r>
    <x v="11"/>
    <n v="60"/>
    <n v="2083333.33"/>
    <n v="54794.52"/>
    <n v="6575.339999999851"/>
    <n v="2144703.19"/>
    <d v="2029-10-17T00:00:00"/>
    <x v="1"/>
    <x v="1"/>
    <x v="0"/>
  </r>
  <r>
    <x v="18"/>
    <n v="58"/>
    <n v="9190950.7699999996"/>
    <n v="830636.46"/>
    <n v="99676.38"/>
    <n v="10121263.609999999"/>
    <d v="2029-10-17T00:00:00"/>
    <x v="4"/>
    <x v="1"/>
    <x v="0"/>
  </r>
  <r>
    <x v="12"/>
    <n v="58"/>
    <n v="4753940.05"/>
    <n v="429639.55"/>
    <n v="51556.74"/>
    <n v="5235136.34"/>
    <d v="2029-10-17T00:00:00"/>
    <x v="4"/>
    <x v="1"/>
    <x v="0"/>
  </r>
  <r>
    <x v="15"/>
    <n v="51"/>
    <n v="4149610.81"/>
    <n v="1624898.76"/>
    <n v="195150.34"/>
    <n v="5969659.9100000001"/>
    <d v="2029-10-17T00:00:00"/>
    <x v="0"/>
    <x v="1"/>
    <x v="0"/>
  </r>
  <r>
    <x v="0"/>
    <n v="63"/>
    <n v="2252638.58"/>
    <n v="2336785.67"/>
    <n v="280414.28999999998"/>
    <n v="4869838.54"/>
    <d v="2029-10-19T00:00:00"/>
    <x v="0"/>
    <x v="1"/>
    <x v="0"/>
  </r>
  <r>
    <x v="17"/>
    <n v="62"/>
    <n v="8447394.8000000007"/>
    <m/>
    <m/>
    <m/>
    <d v="2029-10-19T00:00:00"/>
    <x v="0"/>
    <x v="1"/>
    <x v="0"/>
  </r>
  <r>
    <x v="19"/>
    <n v="58"/>
    <n v="3226613.33"/>
    <n v="1679703.96"/>
    <n v="201564.46"/>
    <n v="5107881.75"/>
    <d v="2029-10-26T00:00:00"/>
    <x v="5"/>
    <x v="1"/>
    <x v="0"/>
  </r>
  <r>
    <x v="20"/>
    <n v="64"/>
    <n v="6919113.5886684367"/>
    <n v="1534070.1795909898"/>
    <n v="184088.42155091878"/>
    <n v="8637272.1898103449"/>
    <d v="2029-10-27T00:00:00"/>
    <x v="5"/>
    <x v="1"/>
    <x v="0"/>
  </r>
  <r>
    <x v="23"/>
    <n v="58"/>
    <n v="6692561"/>
    <n v="567459.22"/>
    <n v="68095.11"/>
    <n v="7328115.3300000001"/>
    <d v="2029-10-27T00:00:00"/>
    <x v="7"/>
    <x v="1"/>
    <x v="0"/>
  </r>
  <r>
    <x v="4"/>
    <n v="60"/>
    <n v="14166666.51"/>
    <n v="397442.92"/>
    <n v="47693.150000000373"/>
    <n v="14611802.58"/>
    <d v="2029-11-04T00:00:00"/>
    <x v="1"/>
    <x v="1"/>
    <x v="0"/>
  </r>
  <r>
    <x v="8"/>
    <n v="52"/>
    <n v="3807308.04"/>
    <n v="6749493.8899999997"/>
    <n v="810614.22"/>
    <n v="11367416.15"/>
    <d v="2029-11-13T00:00:00"/>
    <x v="0"/>
    <x v="1"/>
    <x v="0"/>
  </r>
  <r>
    <x v="18"/>
    <n v="59"/>
    <n v="9447791.8900000006"/>
    <n v="573795.34"/>
    <n v="68855.44"/>
    <n v="10090442.67"/>
    <d v="2029-11-17T00:00:00"/>
    <x v="4"/>
    <x v="1"/>
    <x v="0"/>
  </r>
  <r>
    <x v="12"/>
    <n v="59"/>
    <n v="4886788.9000000004"/>
    <n v="296790.7"/>
    <n v="35614.879999999997"/>
    <n v="5219194.4800000004"/>
    <d v="2029-11-17T00:00:00"/>
    <x v="4"/>
    <x v="1"/>
    <x v="0"/>
  </r>
  <r>
    <x v="15"/>
    <n v="52"/>
    <n v="4289020.67"/>
    <n v="1485488.9"/>
    <n v="178407.21"/>
    <n v="5952916.7800000003"/>
    <d v="2029-11-17T00:00:00"/>
    <x v="0"/>
    <x v="1"/>
    <x v="0"/>
  </r>
  <r>
    <x v="0"/>
    <n v="64"/>
    <n v="2326697.9300000002"/>
    <n v="2262726.3199999998"/>
    <n v="271527.15000000002"/>
    <n v="4860951.4000000004"/>
    <d v="2029-11-19T00:00:00"/>
    <x v="0"/>
    <x v="1"/>
    <x v="0"/>
  </r>
  <r>
    <x v="17"/>
    <n v="63"/>
    <n v="8725117.3699999992"/>
    <m/>
    <m/>
    <m/>
    <d v="2029-11-19T00:00:00"/>
    <x v="0"/>
    <x v="1"/>
    <x v="0"/>
  </r>
  <r>
    <x v="19"/>
    <n v="59"/>
    <n v="3318034.04"/>
    <n v="1588283.25"/>
    <n v="190593.98"/>
    <n v="5096911.2699999996"/>
    <d v="2029-11-26T00:00:00"/>
    <x v="5"/>
    <x v="1"/>
    <x v="0"/>
  </r>
  <r>
    <x v="20"/>
    <n v="65"/>
    <n v="7074793.6444134768"/>
    <n v="1378390.12384595"/>
    <n v="165406.81486151399"/>
    <n v="8618590.5831209403"/>
    <d v="2029-11-27T00:00:00"/>
    <x v="5"/>
    <x v="1"/>
    <x v="0"/>
  </r>
  <r>
    <x v="23"/>
    <n v="59"/>
    <n v="6876606.4299999997"/>
    <n v="383413.79"/>
    <n v="46009.66"/>
    <n v="7306029.8799999999"/>
    <d v="2029-11-27T00:00:00"/>
    <x v="7"/>
    <x v="1"/>
    <x v="0"/>
  </r>
  <r>
    <x v="8"/>
    <n v="53"/>
    <n v="3926807.97"/>
    <n v="6629993.96"/>
    <n v="796262.28"/>
    <n v="11353064.209999999"/>
    <d v="2029-12-13T00:00:00"/>
    <x v="0"/>
    <x v="1"/>
    <x v="0"/>
  </r>
  <r>
    <x v="18"/>
    <n v="60"/>
    <n v="11085231.4"/>
    <n v="2309776.79"/>
    <n v="37173.21"/>
    <n v="11432181.42"/>
    <d v="2029-12-17T00:00:00"/>
    <x v="4"/>
    <x v="1"/>
    <x v="0"/>
  </r>
  <r>
    <x v="12"/>
    <n v="60"/>
    <n v="5733740.6799999997"/>
    <n v="160229.38"/>
    <n v="19227.52"/>
    <n v="5913197.5800000001"/>
    <d v="2029-12-17T00:00:00"/>
    <x v="4"/>
    <x v="1"/>
    <x v="0"/>
  </r>
  <r>
    <x v="15"/>
    <n v="53"/>
    <n v="4433114.1399999997"/>
    <n v="1341395.43"/>
    <n v="161101.59"/>
    <n v="5935611.1600000001"/>
    <d v="2029-12-17T00:00:00"/>
    <x v="0"/>
    <x v="1"/>
    <x v="0"/>
  </r>
  <r>
    <x v="0"/>
    <n v="65"/>
    <n v="2403192.11"/>
    <n v="2186232.14"/>
    <n v="262347.84999999998"/>
    <n v="4851772.0999999996"/>
    <d v="2029-12-19T00:00:00"/>
    <x v="0"/>
    <x v="1"/>
    <x v="0"/>
  </r>
  <r>
    <x v="17"/>
    <n v="64"/>
    <n v="9011970.5399999991"/>
    <m/>
    <m/>
    <m/>
    <d v="2029-12-19T00:00:00"/>
    <x v="0"/>
    <x v="1"/>
    <x v="0"/>
  </r>
  <r>
    <x v="19"/>
    <n v="60"/>
    <n v="3412045"/>
    <n v="1494272.29"/>
    <n v="179312.67"/>
    <n v="5085629.96"/>
    <d v="2029-12-26T00:00:00"/>
    <x v="5"/>
    <x v="1"/>
    <x v="0"/>
  </r>
  <r>
    <x v="20"/>
    <n v="66"/>
    <n v="7233976.50141278"/>
    <n v="1219207.2668466468"/>
    <n v="146304.87202159761"/>
    <n v="8599488.6402810253"/>
    <d v="2029-12-27T00:00:00"/>
    <x v="5"/>
    <x v="1"/>
    <x v="0"/>
  </r>
  <r>
    <x v="23"/>
    <n v="60"/>
    <n v="7065713.3399999999"/>
    <n v="194307.12"/>
    <n v="23316.86"/>
    <n v="7283337.3200000003"/>
    <d v="2029-12-27T00:00:00"/>
    <x v="7"/>
    <x v="1"/>
    <x v="0"/>
  </r>
  <r>
    <x v="8"/>
    <n v="54"/>
    <n v="4050058.63"/>
    <n v="6506743.2999999998"/>
    <n v="781459.87"/>
    <n v="11338261.799999999"/>
    <d v="2030-01-13T00:00:00"/>
    <x v="0"/>
    <x v="1"/>
    <x v="0"/>
  </r>
  <r>
    <x v="15"/>
    <n v="54"/>
    <n v="4582048.5599999996"/>
    <n v="1192461.01"/>
    <n v="143214.57999999999"/>
    <n v="5917724.1500000004"/>
    <d v="2030-01-17T00:00:00"/>
    <x v="0"/>
    <x v="1"/>
    <x v="0"/>
  </r>
  <r>
    <x v="0"/>
    <n v="66"/>
    <n v="2482201.17"/>
    <n v="2107223.08"/>
    <n v="252866.77"/>
    <n v="4842291.0199999996"/>
    <d v="2030-01-19T00:00:00"/>
    <x v="0"/>
    <x v="1"/>
    <x v="0"/>
  </r>
  <r>
    <x v="17"/>
    <n v="65"/>
    <n v="9308254.5"/>
    <m/>
    <m/>
    <m/>
    <d v="2030-01-19T00:00:00"/>
    <x v="0"/>
    <x v="1"/>
    <x v="0"/>
  </r>
  <r>
    <x v="19"/>
    <n v="61"/>
    <n v="3508719.61"/>
    <n v="1397597.68"/>
    <n v="167711.71"/>
    <n v="5074029"/>
    <d v="2030-01-26T00:00:00"/>
    <x v="5"/>
    <x v="1"/>
    <x v="0"/>
  </r>
  <r>
    <x v="20"/>
    <n v="67"/>
    <n v="7396740.9726945674"/>
    <n v="1056442.7955648592"/>
    <n v="126773.1354677831"/>
    <n v="8579956.9037272092"/>
    <d v="2030-01-27T00:00:00"/>
    <x v="5"/>
    <x v="1"/>
    <x v="0"/>
  </r>
  <r>
    <x v="8"/>
    <n v="55"/>
    <n v="4177177.77"/>
    <n v="6379624.1600000001"/>
    <n v="766192.86"/>
    <n v="11322994.789999999"/>
    <d v="2030-02-13T00:00:00"/>
    <x v="0"/>
    <x v="1"/>
    <x v="0"/>
  </r>
  <r>
    <x v="15"/>
    <n v="55"/>
    <n v="4735986.5599999996"/>
    <n v="1038523.01"/>
    <n v="124726.62"/>
    <n v="5899236.1900000004"/>
    <d v="2030-02-17T00:00:00"/>
    <x v="0"/>
    <x v="1"/>
    <x v="0"/>
  </r>
  <r>
    <x v="0"/>
    <n v="67"/>
    <n v="2563807.7799999998"/>
    <n v="2025616.47"/>
    <n v="243073.98"/>
    <n v="4832498.2300000004"/>
    <d v="2030-02-19T00:00:00"/>
    <x v="0"/>
    <x v="1"/>
    <x v="0"/>
  </r>
  <r>
    <x v="17"/>
    <n v="66"/>
    <n v="9614279.3000000007"/>
    <m/>
    <m/>
    <m/>
    <d v="2030-02-19T00:00:00"/>
    <x v="0"/>
    <x v="1"/>
    <x v="0"/>
  </r>
  <r>
    <x v="19"/>
    <n v="62"/>
    <n v="3608133.33"/>
    <n v="1298183.96"/>
    <n v="155782.06"/>
    <n v="5062099.3499999996"/>
    <d v="2030-02-26T00:00:00"/>
    <x v="5"/>
    <x v="1"/>
    <x v="0"/>
  </r>
  <r>
    <x v="20"/>
    <n v="68"/>
    <n v="7563167.6445801947"/>
    <n v="890016.12367923139"/>
    <n v="106801.93484150777"/>
    <n v="8559985.7031009346"/>
    <d v="2030-02-27T00:00:00"/>
    <x v="5"/>
    <x v="1"/>
    <x v="0"/>
  </r>
  <r>
    <x v="8"/>
    <n v="56"/>
    <n v="4308286.79"/>
    <n v="6248515.1399999997"/>
    <n v="750446.67"/>
    <n v="11307248.6"/>
    <d v="2030-03-13T00:00:00"/>
    <x v="0"/>
    <x v="1"/>
    <x v="0"/>
  </r>
  <r>
    <x v="15"/>
    <n v="56"/>
    <n v="4895096.24"/>
    <n v="879413.33"/>
    <n v="105617.54"/>
    <n v="5880127.1100000003"/>
    <d v="2030-03-17T00:00:00"/>
    <x v="0"/>
    <x v="1"/>
    <x v="0"/>
  </r>
  <r>
    <x v="0"/>
    <n v="68"/>
    <n v="2648097.35"/>
    <n v="1941326.9"/>
    <n v="232959.22"/>
    <n v="4822383.47"/>
    <d v="2030-03-19T00:00:00"/>
    <x v="0"/>
    <x v="1"/>
    <x v="0"/>
  </r>
  <r>
    <x v="17"/>
    <n v="67"/>
    <n v="9930365.1899999995"/>
    <m/>
    <m/>
    <m/>
    <d v="2030-03-19T00:00:00"/>
    <x v="0"/>
    <x v="1"/>
    <x v="0"/>
  </r>
  <r>
    <x v="19"/>
    <n v="63"/>
    <n v="3710363.78"/>
    <n v="1195953.51"/>
    <n v="143514.41"/>
    <n v="5049831.7"/>
    <d v="2030-03-26T00:00:00"/>
    <x v="5"/>
    <x v="1"/>
    <x v="0"/>
  </r>
  <r>
    <x v="20"/>
    <n v="69"/>
    <n v="7733338.9165832493"/>
    <n v="719844.851676177"/>
    <n v="86381.382201141241"/>
    <n v="8539565.1504605673"/>
    <d v="2030-03-27T00:00:00"/>
    <x v="5"/>
    <x v="1"/>
    <x v="0"/>
  </r>
  <r>
    <x v="8"/>
    <n v="57"/>
    <n v="4443510.92"/>
    <n v="6113291.0099999998"/>
    <n v="734206.26"/>
    <n v="11291008.189999999"/>
    <d v="2030-04-13T00:00:00"/>
    <x v="0"/>
    <x v="1"/>
    <x v="0"/>
  </r>
  <r>
    <x v="15"/>
    <n v="57"/>
    <n v="5059551.3499999996"/>
    <n v="714958.22"/>
    <n v="85866.48"/>
    <n v="5860376.0499999998"/>
    <d v="2030-04-17T00:00:00"/>
    <x v="0"/>
    <x v="1"/>
    <x v="0"/>
  </r>
  <r>
    <x v="0"/>
    <n v="69"/>
    <n v="2735158.08"/>
    <n v="1854266.17"/>
    <n v="222511.94"/>
    <n v="4811936.1900000004"/>
    <d v="2030-04-19T00:00:00"/>
    <x v="0"/>
    <x v="1"/>
    <x v="0"/>
  </r>
  <r>
    <x v="17"/>
    <n v="68"/>
    <n v="10256842.949999999"/>
    <m/>
    <m/>
    <m/>
    <d v="2030-04-19T00:00:00"/>
    <x v="0"/>
    <x v="1"/>
    <x v="0"/>
  </r>
  <r>
    <x v="19"/>
    <n v="64"/>
    <n v="3815490.75"/>
    <n v="1090826.54"/>
    <n v="130899.17"/>
    <n v="5037216.46"/>
    <d v="2030-04-26T00:00:00"/>
    <x v="5"/>
    <x v="1"/>
    <x v="0"/>
  </r>
  <r>
    <x v="20"/>
    <n v="70"/>
    <n v="7907339.0422063731"/>
    <n v="545844.72605305398"/>
    <n v="65501.36712636648"/>
    <n v="8518685.1353857927"/>
    <d v="2030-04-27T00:00:00"/>
    <x v="5"/>
    <x v="1"/>
    <x v="0"/>
  </r>
  <r>
    <x v="8"/>
    <n v="58"/>
    <n v="4582979.34"/>
    <n v="5973822.5899999999"/>
    <n v="717456.09"/>
    <n v="11274258.02"/>
    <d v="2030-05-13T00:00:00"/>
    <x v="0"/>
    <x v="1"/>
    <x v="0"/>
  </r>
  <r>
    <x v="15"/>
    <n v="58"/>
    <n v="5229531.4800000004"/>
    <n v="544978.09"/>
    <n v="65451.87"/>
    <n v="5839961.4400000004"/>
    <d v="2030-05-17T00:00:00"/>
    <x v="0"/>
    <x v="1"/>
    <x v="0"/>
  </r>
  <r>
    <x v="0"/>
    <n v="70"/>
    <n v="2825081.09"/>
    <n v="1764343.16"/>
    <n v="211721.18"/>
    <n v="4801145.43"/>
    <d v="2030-05-19T00:00:00"/>
    <x v="0"/>
    <x v="1"/>
    <x v="0"/>
  </r>
  <r>
    <x v="17"/>
    <n v="69"/>
    <n v="10594054.220000001"/>
    <m/>
    <m/>
    <m/>
    <d v="2030-05-19T00:00:00"/>
    <x v="0"/>
    <x v="1"/>
    <x v="0"/>
  </r>
  <r>
    <x v="19"/>
    <n v="65"/>
    <n v="3923596.32"/>
    <n v="982720.97"/>
    <n v="117926.51"/>
    <n v="5024243.8"/>
    <d v="2030-05-26T00:00:00"/>
    <x v="5"/>
    <x v="1"/>
    <x v="0"/>
  </r>
  <r>
    <x v="20"/>
    <n v="71"/>
    <n v="8085254.1706560161"/>
    <n v="367929.59760341054"/>
    <n v="44151.551712409266"/>
    <n v="8497335.3199718352"/>
    <d v="2030-05-27T00:00:00"/>
    <x v="5"/>
    <x v="1"/>
    <x v="0"/>
  </r>
  <r>
    <x v="8"/>
    <n v="59"/>
    <n v="4726825.25"/>
    <n v="5829976.6799999997"/>
    <n v="700180.2"/>
    <n v="11256982.129999999"/>
    <d v="2030-06-13T00:00:00"/>
    <x v="0"/>
    <x v="1"/>
    <x v="0"/>
  </r>
  <r>
    <x v="15"/>
    <n v="59"/>
    <n v="5405222.25"/>
    <n v="369287.32"/>
    <n v="44351.41"/>
    <n v="5818860.9800000004"/>
    <d v="2030-06-17T00:00:00"/>
    <x v="0"/>
    <x v="1"/>
    <x v="0"/>
  </r>
  <r>
    <x v="0"/>
    <n v="71"/>
    <n v="2917960.47"/>
    <n v="1671463.78"/>
    <n v="200575.66"/>
    <n v="4789999.91"/>
    <d v="2030-06-19T00:00:00"/>
    <x v="0"/>
    <x v="1"/>
    <x v="0"/>
  </r>
  <r>
    <x v="17"/>
    <n v="70"/>
    <n v="10942351.890000001"/>
    <m/>
    <m/>
    <m/>
    <d v="2030-06-19T00:00:00"/>
    <x v="0"/>
    <x v="1"/>
    <x v="0"/>
  </r>
  <r>
    <x v="19"/>
    <n v="66"/>
    <n v="4034764.89"/>
    <n v="871552.4"/>
    <n v="104586.28"/>
    <n v="5010903.57"/>
    <d v="2030-06-26T00:00:00"/>
    <x v="5"/>
    <x v="1"/>
    <x v="0"/>
  </r>
  <r>
    <x v="15"/>
    <n v="1"/>
    <n v="2582900.02"/>
    <n v="3191609.55"/>
    <n v="383312.3"/>
    <n v="6157821.8700000001"/>
    <d v="2025-08-17T00:00:00"/>
    <x v="0"/>
    <x v="0"/>
    <x v="0"/>
  </r>
  <r>
    <x v="20"/>
    <n v="72"/>
    <n v="8267172.389495776"/>
    <n v="186011.37876365019"/>
    <n v="22321.365451638023"/>
    <n v="8475505.1337110642"/>
    <d v="2030-06-27T00:00:00"/>
    <x v="5"/>
    <x v="1"/>
    <x v="0"/>
  </r>
  <r>
    <x v="8"/>
    <n v="60"/>
    <n v="4875186.04"/>
    <n v="5681615.8899999997"/>
    <n v="682362.07"/>
    <n v="11239164"/>
    <d v="2030-07-13T00:00:00"/>
    <x v="0"/>
    <x v="1"/>
    <x v="0"/>
  </r>
  <r>
    <x v="15"/>
    <n v="60"/>
    <n v="5586816.3799999999"/>
    <n v="187694.07"/>
    <n v="22542.06"/>
    <n v="5797052.5099999998"/>
    <d v="2030-07-17T00:00:00"/>
    <x v="0"/>
    <x v="1"/>
    <x v="0"/>
  </r>
  <r>
    <x v="0"/>
    <n v="72"/>
    <n v="3013893.41"/>
    <n v="1575530.84"/>
    <n v="189063.7"/>
    <n v="4778487.95"/>
    <d v="2030-07-19T00:00:00"/>
    <x v="0"/>
    <x v="1"/>
    <x v="0"/>
  </r>
  <r>
    <x v="17"/>
    <n v="71"/>
    <n v="11302100.439999999"/>
    <m/>
    <m/>
    <m/>
    <d v="2030-07-19T00:00:00"/>
    <x v="0"/>
    <x v="1"/>
    <x v="0"/>
  </r>
  <r>
    <x v="19"/>
    <n v="67"/>
    <n v="4149083.22"/>
    <n v="757234.07"/>
    <n v="90868.08"/>
    <n v="4997185.37"/>
    <d v="2030-07-26T00:00:00"/>
    <x v="5"/>
    <x v="1"/>
    <x v="0"/>
  </r>
  <r>
    <x v="8"/>
    <n v="61"/>
    <n v="5028203.4400000004"/>
    <n v="5528598.4900000002"/>
    <n v="663984.68000000005"/>
    <n v="11220786.609999999"/>
    <d v="2030-08-13T00:00:00"/>
    <x v="0"/>
    <x v="1"/>
    <x v="0"/>
  </r>
  <r>
    <x v="0"/>
    <n v="73"/>
    <n v="3112980.32"/>
    <n v="1476443.93"/>
    <n v="177173.27"/>
    <n v="4766597.5199999996"/>
    <d v="2030-08-19T00:00:00"/>
    <x v="0"/>
    <x v="1"/>
    <x v="0"/>
  </r>
  <r>
    <x v="17"/>
    <n v="72"/>
    <n v="11673676.34"/>
    <m/>
    <m/>
    <m/>
    <d v="2030-08-19T00:00:00"/>
    <x v="0"/>
    <x v="1"/>
    <x v="0"/>
  </r>
  <r>
    <x v="19"/>
    <n v="68"/>
    <n v="4266640.58"/>
    <n v="639676.71"/>
    <n v="76761.2"/>
    <n v="4983078.49"/>
    <d v="2030-08-26T00:00:00"/>
    <x v="5"/>
    <x v="1"/>
    <x v="0"/>
  </r>
  <r>
    <x v="8"/>
    <n v="62"/>
    <n v="5186023.59"/>
    <n v="5370778.3399999999"/>
    <n v="645030.49"/>
    <n v="11201832.42"/>
    <d v="2030-09-13T00:00:00"/>
    <x v="0"/>
    <x v="1"/>
    <x v="0"/>
  </r>
  <r>
    <x v="0"/>
    <n v="74"/>
    <n v="3215324.88"/>
    <n v="1374099.37"/>
    <n v="164891.92000000001"/>
    <n v="4754316.17"/>
    <d v="2030-09-19T00:00:00"/>
    <x v="0"/>
    <x v="1"/>
    <x v="0"/>
  </r>
  <r>
    <x v="17"/>
    <n v="73"/>
    <n v="12057468.439999999"/>
    <m/>
    <m/>
    <m/>
    <d v="2030-09-19T00:00:00"/>
    <x v="0"/>
    <x v="1"/>
    <x v="0"/>
  </r>
  <r>
    <x v="19"/>
    <n v="69"/>
    <n v="4387528.7300000004"/>
    <n v="518788.56"/>
    <n v="62254.61"/>
    <n v="4968571.9000000004"/>
    <d v="2030-09-26T00:00:00"/>
    <x v="5"/>
    <x v="1"/>
    <x v="0"/>
  </r>
  <r>
    <x v="8"/>
    <n v="63"/>
    <n v="5348797.24"/>
    <n v="5208004.6900000004"/>
    <n v="625481.36"/>
    <n v="11182283.289999999"/>
    <d v="2030-10-13T00:00:00"/>
    <x v="0"/>
    <x v="1"/>
    <x v="0"/>
  </r>
  <r>
    <x v="0"/>
    <n v="75"/>
    <n v="3321034.19"/>
    <n v="1268390.06"/>
    <n v="152206.81"/>
    <n v="4741631.0599999996"/>
    <d v="2030-10-19T00:00:00"/>
    <x v="0"/>
    <x v="1"/>
    <x v="0"/>
  </r>
  <r>
    <x v="17"/>
    <n v="74"/>
    <n v="12453878.35"/>
    <m/>
    <m/>
    <m/>
    <d v="2030-10-19T00:00:00"/>
    <x v="0"/>
    <x v="1"/>
    <x v="0"/>
  </r>
  <r>
    <x v="19"/>
    <n v="70"/>
    <n v="4511842.05"/>
    <n v="394475.24"/>
    <n v="47337.02"/>
    <n v="4953654.3099999996"/>
    <d v="2030-10-26T00:00:00"/>
    <x v="5"/>
    <x v="1"/>
    <x v="0"/>
  </r>
  <r>
    <x v="8"/>
    <n v="64"/>
    <n v="5516679.8700000001"/>
    <n v="5040122.0599999996"/>
    <n v="605318.66"/>
    <n v="11162120.59"/>
    <d v="2030-11-13T00:00:00"/>
    <x v="0"/>
    <x v="1"/>
    <x v="0"/>
  </r>
  <r>
    <x v="0"/>
    <n v="76"/>
    <n v="3430218.87"/>
    <n v="1159205.3799999999"/>
    <n v="139104.64000000001"/>
    <n v="4728528.8899999997"/>
    <d v="2030-11-19T00:00:00"/>
    <x v="0"/>
    <x v="1"/>
    <x v="0"/>
  </r>
  <r>
    <x v="17"/>
    <n v="75"/>
    <n v="12863320.93"/>
    <m/>
    <m/>
    <m/>
    <d v="2030-11-19T00:00:00"/>
    <x v="0"/>
    <x v="1"/>
    <x v="0"/>
  </r>
  <r>
    <x v="19"/>
    <n v="71"/>
    <n v="4639677.57"/>
    <n v="266639.71999999997"/>
    <n v="31996.76"/>
    <n v="4938314.05"/>
    <d v="2030-11-26T00:00:00"/>
    <x v="5"/>
    <x v="1"/>
    <x v="0"/>
  </r>
  <r>
    <x v="8"/>
    <n v="65"/>
    <n v="5689831.8200000003"/>
    <n v="4866970.1100000003"/>
    <n v="584523.11"/>
    <n v="11141325.039999999"/>
    <d v="2030-12-13T00:00:00"/>
    <x v="0"/>
    <x v="1"/>
    <x v="0"/>
  </r>
  <r>
    <x v="0"/>
    <n v="77"/>
    <n v="3542993.19"/>
    <n v="1046431.06"/>
    <n v="125571.73"/>
    <n v="4714995.9800000004"/>
    <d v="2030-12-19T00:00:00"/>
    <x v="0"/>
    <x v="1"/>
    <x v="0"/>
  </r>
  <r>
    <x v="17"/>
    <n v="76"/>
    <n v="13286224.619999999"/>
    <m/>
    <m/>
    <m/>
    <d v="2030-12-19T00:00:00"/>
    <x v="0"/>
    <x v="1"/>
    <x v="0"/>
  </r>
  <r>
    <x v="19"/>
    <n v="72"/>
    <n v="4771136.0599999996"/>
    <n v="135182.19"/>
    <n v="16221.85"/>
    <n v="4922540.0999999996"/>
    <d v="2030-12-26T00:00:00"/>
    <x v="5"/>
    <x v="1"/>
    <x v="0"/>
  </r>
  <r>
    <x v="8"/>
    <n v="66"/>
    <n v="5868418.4900000002"/>
    <n v="4688383.4400000004"/>
    <n v="563074.85"/>
    <n v="11119876.779999999"/>
    <d v="2031-01-13T00:00:00"/>
    <x v="0"/>
    <x v="1"/>
    <x v="0"/>
  </r>
  <r>
    <x v="0"/>
    <n v="78"/>
    <n v="3659475.15"/>
    <n v="929949.1"/>
    <n v="111593.9"/>
    <n v="4701018.1500000004"/>
    <d v="2031-01-19T00:00:00"/>
    <x v="0"/>
    <x v="1"/>
    <x v="0"/>
  </r>
  <r>
    <x v="17"/>
    <n v="77"/>
    <n v="13723032"/>
    <m/>
    <m/>
    <m/>
    <d v="2031-01-19T00:00:00"/>
    <x v="0"/>
    <x v="1"/>
    <x v="0"/>
  </r>
  <r>
    <x v="8"/>
    <n v="67"/>
    <n v="6052610.46"/>
    <n v="4504191.47"/>
    <n v="540953.39"/>
    <n v="11097755.32"/>
    <d v="2031-02-13T00:00:00"/>
    <x v="0"/>
    <x v="1"/>
    <x v="0"/>
  </r>
  <r>
    <x v="0"/>
    <n v="79"/>
    <n v="3779786.67"/>
    <n v="809637.58"/>
    <n v="97156.51"/>
    <n v="4686580.76"/>
    <d v="2031-02-19T00:00:00"/>
    <x v="0"/>
    <x v="1"/>
    <x v="0"/>
  </r>
  <r>
    <x v="17"/>
    <n v="78"/>
    <n v="14174200.17"/>
    <m/>
    <m/>
    <m/>
    <d v="2031-02-19T00:00:00"/>
    <x v="0"/>
    <x v="1"/>
    <x v="0"/>
  </r>
  <r>
    <x v="8"/>
    <n v="68"/>
    <n v="6242583.6600000001"/>
    <n v="4314218.2699999996"/>
    <n v="518137.61"/>
    <n v="11074939.539999999"/>
    <d v="2031-03-13T00:00:00"/>
    <x v="0"/>
    <x v="1"/>
    <x v="0"/>
  </r>
  <r>
    <x v="0"/>
    <n v="80"/>
    <n v="3904053.62"/>
    <n v="685370.63"/>
    <n v="82244.479999999996"/>
    <n v="4671668.7300000004"/>
    <d v="2031-03-19T00:00:00"/>
    <x v="0"/>
    <x v="1"/>
    <x v="0"/>
  </r>
  <r>
    <x v="17"/>
    <n v="79"/>
    <n v="14640201.27"/>
    <m/>
    <m/>
    <m/>
    <d v="2031-03-19T00:00:00"/>
    <x v="0"/>
    <x v="1"/>
    <x v="0"/>
  </r>
  <r>
    <x v="8"/>
    <n v="69"/>
    <n v="6438519.5499999998"/>
    <n v="4118282.38"/>
    <n v="494605.72"/>
    <n v="11051407.65"/>
    <d v="2031-04-13T00:00:00"/>
    <x v="0"/>
    <x v="1"/>
    <x v="0"/>
  </r>
  <r>
    <x v="0"/>
    <n v="81"/>
    <n v="4032406.07"/>
    <n v="557018.18000000005"/>
    <n v="66842.179999999993"/>
    <n v="4656266.43"/>
    <d v="2031-04-19T00:00:00"/>
    <x v="0"/>
    <x v="1"/>
    <x v="0"/>
  </r>
  <r>
    <x v="17"/>
    <n v="80"/>
    <n v="15121522.949999999"/>
    <m/>
    <m/>
    <m/>
    <d v="2031-04-19T00:00:00"/>
    <x v="0"/>
    <x v="1"/>
    <x v="0"/>
  </r>
  <r>
    <x v="8"/>
    <n v="70"/>
    <n v="6640605.2699999996"/>
    <n v="3916196.66"/>
    <n v="470335.22"/>
    <n v="11027137.15"/>
    <d v="2031-05-13T00:00:00"/>
    <x v="0"/>
    <x v="1"/>
    <x v="0"/>
  </r>
  <r>
    <x v="0"/>
    <n v="82"/>
    <n v="4164978.32"/>
    <n v="424445.93"/>
    <n v="50933.51"/>
    <n v="4640357.76"/>
    <d v="2031-05-19T00:00:00"/>
    <x v="0"/>
    <x v="1"/>
    <x v="0"/>
  </r>
  <r>
    <x v="17"/>
    <n v="81"/>
    <n v="15618668.91"/>
    <m/>
    <m/>
    <m/>
    <d v="2031-05-19T00:00:00"/>
    <x v="0"/>
    <x v="1"/>
    <x v="0"/>
  </r>
  <r>
    <x v="8"/>
    <n v="71"/>
    <n v="6849033.8499999996"/>
    <n v="3707768.08"/>
    <n v="445302.95"/>
    <n v="11002104.879999999"/>
    <d v="2031-06-13T00:00:00"/>
    <x v="0"/>
    <x v="1"/>
    <x v="0"/>
  </r>
  <r>
    <x v="0"/>
    <n v="83"/>
    <n v="4301909.12"/>
    <n v="287515.13"/>
    <n v="34501.82"/>
    <n v="4623926.07"/>
    <d v="2031-06-19T00:00:00"/>
    <x v="0"/>
    <x v="1"/>
    <x v="0"/>
  </r>
  <r>
    <x v="17"/>
    <n v="82"/>
    <n v="16132159.390000001"/>
    <m/>
    <m/>
    <m/>
    <d v="2031-06-19T00:00:00"/>
    <x v="0"/>
    <x v="1"/>
    <x v="0"/>
  </r>
  <r>
    <x v="8"/>
    <n v="72"/>
    <n v="7064004.3799999999"/>
    <n v="3492797.55"/>
    <n v="419484.98"/>
    <n v="10976286.91"/>
    <d v="2031-07-13T00:00:00"/>
    <x v="0"/>
    <x v="1"/>
    <x v="0"/>
  </r>
  <r>
    <x v="0"/>
    <n v="84"/>
    <n v="4443342.99"/>
    <n v="146082.51"/>
    <n v="17529.900000000001"/>
    <n v="4606955.4000000004"/>
    <d v="2031-07-19T00:00:00"/>
    <x v="0"/>
    <x v="1"/>
    <x v="0"/>
  </r>
  <r>
    <x v="17"/>
    <n v="83"/>
    <n v="16662530.460000001"/>
    <m/>
    <m/>
    <m/>
    <d v="2031-07-19T00:00:00"/>
    <x v="0"/>
    <x v="1"/>
    <x v="0"/>
  </r>
  <r>
    <x v="8"/>
    <n v="73"/>
    <n v="7285722.1900000004"/>
    <n v="3271079.74"/>
    <n v="392856.68"/>
    <n v="10949658.609999999"/>
    <d v="2031-08-13T00:00:00"/>
    <x v="0"/>
    <x v="1"/>
    <x v="0"/>
  </r>
  <r>
    <x v="8"/>
    <n v="74"/>
    <n v="7514399.0499999998"/>
    <n v="3042402.88"/>
    <n v="365392.58"/>
    <n v="10922194.51"/>
    <d v="2031-09-13T00:00:00"/>
    <x v="0"/>
    <x v="1"/>
    <x v="0"/>
  </r>
  <r>
    <x v="8"/>
    <n v="75"/>
    <n v="7750253.3899999997"/>
    <n v="2806548.54"/>
    <n v="337066.48"/>
    <n v="10893868.41"/>
    <d v="2031-10-13T00:00:00"/>
    <x v="0"/>
    <x v="1"/>
    <x v="0"/>
  </r>
  <r>
    <x v="8"/>
    <n v="76"/>
    <n v="7993510.4800000004"/>
    <n v="2563291.4500000002"/>
    <n v="307851.3"/>
    <n v="10864653.23"/>
    <d v="2031-11-13T00:00:00"/>
    <x v="0"/>
    <x v="1"/>
    <x v="0"/>
  </r>
  <r>
    <x v="8"/>
    <n v="77"/>
    <n v="8244402.6799999997"/>
    <n v="2312399.25"/>
    <n v="277719.15000000002"/>
    <n v="10834521.08"/>
    <d v="2031-12-13T00:00:00"/>
    <x v="0"/>
    <x v="1"/>
    <x v="0"/>
  </r>
  <r>
    <x v="8"/>
    <n v="78"/>
    <n v="8503169.6400000006"/>
    <n v="2053632.29"/>
    <n v="246641.23"/>
    <n v="10803443.16"/>
    <d v="2032-01-13T00:00:00"/>
    <x v="0"/>
    <x v="1"/>
    <x v="0"/>
  </r>
  <r>
    <x v="8"/>
    <n v="79"/>
    <n v="8770058.5"/>
    <n v="1786743.43"/>
    <n v="214587.88"/>
    <n v="10771389.810000001"/>
    <d v="2032-02-13T00:00:00"/>
    <x v="0"/>
    <x v="1"/>
    <x v="0"/>
  </r>
  <r>
    <x v="8"/>
    <n v="80"/>
    <n v="9045324.1999999993"/>
    <n v="1511477.73"/>
    <n v="181528.48"/>
    <n v="10738330.41"/>
    <d v="2032-03-13T00:00:00"/>
    <x v="0"/>
    <x v="1"/>
    <x v="0"/>
  </r>
  <r>
    <x v="8"/>
    <n v="81"/>
    <n v="9329229.6699999999"/>
    <n v="1227572.26"/>
    <n v="147431.43"/>
    <n v="10704233.359999999"/>
    <d v="2032-04-13T00:00:00"/>
    <x v="0"/>
    <x v="1"/>
    <x v="0"/>
  </r>
  <r>
    <x v="8"/>
    <n v="82"/>
    <n v="9622046.0700000003"/>
    <n v="934755.86"/>
    <n v="112264.19"/>
    <n v="10669066.119999999"/>
    <d v="2032-05-13T00:00:00"/>
    <x v="0"/>
    <x v="1"/>
    <x v="0"/>
  </r>
  <r>
    <x v="8"/>
    <n v="83"/>
    <n v="9924053.0999999996"/>
    <n v="632748.82999999996"/>
    <n v="75993.13"/>
    <n v="10632795.060000001"/>
    <d v="2032-06-13T00:00:00"/>
    <x v="0"/>
    <x v="1"/>
    <x v="0"/>
  </r>
  <r>
    <x v="8"/>
    <n v="84"/>
    <n v="10235538.99"/>
    <n v="321262.71999999997"/>
    <n v="38583.660000000003"/>
    <n v="10595385.370000001"/>
    <d v="2032-07-13T00:00:00"/>
    <x v="0"/>
    <x v="1"/>
    <x v="0"/>
  </r>
  <r>
    <x v="26"/>
    <s v="1"/>
    <n v="0"/>
    <n v="4703424.66"/>
    <n v="564881.30000000005"/>
    <n v="5268305.96"/>
    <d v="2025-10-09T00:00:00"/>
    <x v="0"/>
    <x v="0"/>
    <x v="0"/>
  </r>
  <r>
    <x v="26"/>
    <n v="2"/>
    <n v="0"/>
    <n v="7055136.9000000004"/>
    <n v="847321.93"/>
    <n v="7902458.8300000001"/>
    <d v="2025-11-09T00:00:00"/>
    <x v="0"/>
    <x v="0"/>
    <x v="0"/>
  </r>
  <r>
    <x v="7"/>
    <n v="36"/>
    <n v="597519.29019111069"/>
    <n v="1186211.2354130622"/>
    <n v="124552.17971837152"/>
    <n v="1908282.7053225443"/>
    <d v="2025-12-12T00:00:00"/>
    <x v="0"/>
    <x v="0"/>
    <x v="0"/>
  </r>
  <r>
    <x v="26"/>
    <s v="4"/>
    <n v="0"/>
    <n v="7055136.9000000004"/>
    <n v="847321.93"/>
    <n v="7902458.8300000001"/>
    <d v="2026-01-09T00:00:00"/>
    <x v="0"/>
    <x v="0"/>
    <x v="0"/>
  </r>
  <r>
    <x v="26"/>
    <s v="5"/>
    <n v="0"/>
    <n v="7055136.9000000004"/>
    <n v="847321.93"/>
    <n v="7902458.8300000001"/>
    <d v="2026-02-09T00:00:00"/>
    <x v="0"/>
    <x v="0"/>
    <x v="0"/>
  </r>
  <r>
    <x v="26"/>
    <s v="6"/>
    <n v="0"/>
    <n v="7055136.9000000004"/>
    <n v="847321.93"/>
    <n v="7902458.8300000001"/>
    <d v="2026-03-09T00:00:00"/>
    <x v="0"/>
    <x v="0"/>
    <x v="0"/>
  </r>
  <r>
    <x v="26"/>
    <s v="7"/>
    <n v="0"/>
    <n v="7055136.9000000004"/>
    <n v="847321.93"/>
    <n v="7902458.8300000001"/>
    <d v="2026-04-09T00:00:00"/>
    <x v="0"/>
    <x v="0"/>
    <x v="0"/>
  </r>
  <r>
    <x v="26"/>
    <s v="8"/>
    <n v="0"/>
    <n v="7055136.9000000004"/>
    <n v="847321.93"/>
    <n v="7902458.8300000001"/>
    <d v="2026-05-09T00:00:00"/>
    <x v="0"/>
    <x v="1"/>
    <x v="0"/>
  </r>
  <r>
    <x v="26"/>
    <s v="9"/>
    <n v="0"/>
    <n v="7055136.9000000004"/>
    <n v="847321.93"/>
    <n v="7902458.8300000001"/>
    <d v="2026-06-09T00:00:00"/>
    <x v="0"/>
    <x v="1"/>
    <x v="0"/>
  </r>
  <r>
    <x v="26"/>
    <s v="10"/>
    <n v="0"/>
    <n v="7055136.9000000004"/>
    <n v="847321.93"/>
    <n v="7902458.8300000001"/>
    <d v="2026-07-09T00:00:00"/>
    <x v="0"/>
    <x v="1"/>
    <x v="0"/>
  </r>
  <r>
    <x v="26"/>
    <s v="11"/>
    <n v="0"/>
    <n v="7055136.9000000004"/>
    <n v="847321.93"/>
    <n v="7902458.8300000001"/>
    <d v="2026-08-09T00:00:00"/>
    <x v="0"/>
    <x v="1"/>
    <x v="0"/>
  </r>
  <r>
    <x v="26"/>
    <s v="12"/>
    <n v="0"/>
    <n v="7055136.9000000004"/>
    <n v="847321.93"/>
    <n v="7902458.8300000001"/>
    <d v="2026-09-09T00:00:00"/>
    <x v="0"/>
    <x v="1"/>
    <x v="0"/>
  </r>
  <r>
    <x v="26"/>
    <s v="13"/>
    <n v="472573.36"/>
    <n v="7055136.9000000004"/>
    <n v="847321.93"/>
    <n v="8375032.1900000004"/>
    <d v="2026-10-09T00:00:00"/>
    <x v="0"/>
    <x v="1"/>
    <x v="0"/>
  </r>
  <r>
    <x v="26"/>
    <s v="14"/>
    <n v="491095.97"/>
    <n v="7036614.29"/>
    <n v="845097.37"/>
    <n v="8372807.6299999999"/>
    <d v="2026-11-09T00:00:00"/>
    <x v="0"/>
    <x v="1"/>
    <x v="0"/>
  </r>
  <r>
    <x v="26"/>
    <s v="15"/>
    <n v="510344.58"/>
    <n v="7017365.6799999997"/>
    <n v="842785.63"/>
    <n v="8370495.8899999997"/>
    <d v="2026-12-09T00:00:00"/>
    <x v="0"/>
    <x v="1"/>
    <x v="0"/>
  </r>
  <r>
    <x v="26"/>
    <s v="16"/>
    <n v="530347.64"/>
    <n v="6997362.6200000001"/>
    <n v="840383.26"/>
    <n v="8368093.5199999996"/>
    <d v="2027-01-09T00:00:00"/>
    <x v="0"/>
    <x v="1"/>
    <x v="0"/>
  </r>
  <r>
    <x v="26"/>
    <s v="17"/>
    <n v="551134.71999999997"/>
    <n v="6976575.54"/>
    <n v="837886.72"/>
    <n v="8365596.9799999995"/>
    <d v="2027-02-09T00:00:00"/>
    <x v="0"/>
    <x v="1"/>
    <x v="0"/>
  </r>
  <r>
    <x v="26"/>
    <s v="18"/>
    <n v="572736.56000000006"/>
    <n v="6954973.7000000002"/>
    <n v="835292.35"/>
    <n v="8363002.6099999994"/>
    <d v="2027-03-09T00:00:00"/>
    <x v="0"/>
    <x v="1"/>
    <x v="0"/>
  </r>
  <r>
    <x v="26"/>
    <s v="19"/>
    <n v="595185.09"/>
    <n v="6932525.1699999999"/>
    <n v="832596.27"/>
    <n v="8360306.5299999993"/>
    <d v="2027-04-09T00:00:00"/>
    <x v="0"/>
    <x v="1"/>
    <x v="0"/>
  </r>
  <r>
    <x v="26"/>
    <s v="20"/>
    <n v="618513.49"/>
    <n v="6909196.7699999996"/>
    <n v="829794.53"/>
    <n v="8357504.79"/>
    <d v="2027-05-09T00:00:00"/>
    <x v="0"/>
    <x v="1"/>
    <x v="0"/>
  </r>
  <r>
    <x v="26"/>
    <s v="21"/>
    <n v="642756.25"/>
    <n v="6884954.0099999998"/>
    <n v="826882.98"/>
    <n v="8354593.2400000002"/>
    <d v="2027-06-09T00:00:00"/>
    <x v="0"/>
    <x v="1"/>
    <x v="0"/>
  </r>
  <r>
    <x v="26"/>
    <s v="22"/>
    <n v="667949.21"/>
    <n v="6859761.0499999998"/>
    <n v="823857.31"/>
    <n v="8351567.5700000003"/>
    <d v="2027-07-09T00:00:00"/>
    <x v="0"/>
    <x v="1"/>
    <x v="0"/>
  </r>
  <r>
    <x v="26"/>
    <s v="23"/>
    <n v="694129.62"/>
    <n v="6833580.6399999997"/>
    <n v="820713.04"/>
    <n v="8348423.2999999998"/>
    <d v="2027-08-09T00:00:00"/>
    <x v="0"/>
    <x v="1"/>
    <x v="0"/>
  </r>
  <r>
    <x v="26"/>
    <s v="24"/>
    <n v="721336.17"/>
    <n v="6806374.0899999999"/>
    <n v="817445.53"/>
    <n v="8345155.79"/>
    <d v="2027-09-09T00:00:00"/>
    <x v="0"/>
    <x v="1"/>
    <x v="0"/>
  </r>
  <r>
    <x v="26"/>
    <s v="25"/>
    <n v="749609.09"/>
    <n v="6778101.1699999999"/>
    <n v="814049.95"/>
    <n v="8341760.21"/>
    <d v="2027-10-09T00:00:00"/>
    <x v="0"/>
    <x v="1"/>
    <x v="0"/>
  </r>
  <r>
    <x v="26"/>
    <s v="26"/>
    <n v="778990.17"/>
    <n v="6748720.0899999999"/>
    <n v="810521.28"/>
    <n v="8338231.54"/>
    <d v="2027-11-09T00:00:00"/>
    <x v="0"/>
    <x v="1"/>
    <x v="0"/>
  </r>
  <r>
    <x v="26"/>
    <s v="27"/>
    <n v="809522.85"/>
    <n v="6718187.4100000001"/>
    <n v="806854.31"/>
    <n v="8334564.5700000003"/>
    <d v="2027-12-09T00:00:00"/>
    <x v="0"/>
    <x v="1"/>
    <x v="0"/>
  </r>
  <r>
    <x v="26"/>
    <s v="28"/>
    <n v="841252.27"/>
    <n v="6686457.9900000002"/>
    <n v="803043.61"/>
    <n v="8330753.8700000001"/>
    <d v="2028-01-09T00:00:00"/>
    <x v="0"/>
    <x v="1"/>
    <x v="0"/>
  </r>
  <r>
    <x v="26"/>
    <s v="29"/>
    <n v="874225.32"/>
    <n v="6653484.9400000004"/>
    <n v="799083.54"/>
    <n v="8326793.8000000007"/>
    <d v="2028-02-09T00:00:00"/>
    <x v="0"/>
    <x v="1"/>
    <x v="0"/>
  </r>
  <r>
    <x v="26"/>
    <s v="30"/>
    <n v="908490.76"/>
    <n v="6619219.5"/>
    <n v="794968.26"/>
    <n v="8322678.5199999996"/>
    <d v="2028-03-09T00:00:00"/>
    <x v="0"/>
    <x v="1"/>
    <x v="0"/>
  </r>
  <r>
    <x v="26"/>
    <s v="31"/>
    <n v="944099.25"/>
    <n v="6583611.0099999998"/>
    <n v="790691.69"/>
    <n v="8318401.9499999993"/>
    <d v="2028-04-09T00:00:00"/>
    <x v="0"/>
    <x v="1"/>
    <x v="0"/>
  </r>
  <r>
    <x v="26"/>
    <s v="32"/>
    <n v="981103.41"/>
    <n v="6546606.8499999996"/>
    <n v="786247.48"/>
    <n v="8313957.7400000002"/>
    <d v="2028-05-09T00:00:00"/>
    <x v="0"/>
    <x v="1"/>
    <x v="0"/>
  </r>
  <r>
    <x v="26"/>
    <s v="33"/>
    <n v="1019557.96"/>
    <n v="6508152.2999999998"/>
    <n v="781629.09"/>
    <n v="8309339.3499999996"/>
    <d v="2028-06-09T00:00:00"/>
    <x v="0"/>
    <x v="1"/>
    <x v="0"/>
  </r>
  <r>
    <x v="26"/>
    <s v="34"/>
    <n v="1059519.74"/>
    <n v="6468190.5199999996"/>
    <n v="776829.68"/>
    <n v="8304539.9399999995"/>
    <d v="2028-07-09T00:00:00"/>
    <x v="0"/>
    <x v="1"/>
    <x v="0"/>
  </r>
  <r>
    <x v="26"/>
    <s v="35"/>
    <n v="1101047.8400000001"/>
    <n v="6426662.4199999999"/>
    <n v="771842.16"/>
    <n v="8299552.4199999999"/>
    <d v="2028-08-09T00:00:00"/>
    <x v="0"/>
    <x v="1"/>
    <x v="0"/>
  </r>
  <r>
    <x v="26"/>
    <s v="36"/>
    <n v="1144203.6299999999"/>
    <n v="6383506.6299999999"/>
    <n v="766659.15"/>
    <n v="8294369.4100000001"/>
    <d v="2028-09-09T00:00:00"/>
    <x v="0"/>
    <x v="1"/>
    <x v="0"/>
  </r>
  <r>
    <x v="26"/>
    <s v="37"/>
    <n v="1189050.93"/>
    <n v="6338659.3300000001"/>
    <n v="761272.99"/>
    <n v="8288983.25"/>
    <d v="2028-10-09T00:00:00"/>
    <x v="0"/>
    <x v="1"/>
    <x v="0"/>
  </r>
  <r>
    <x v="26"/>
    <s v="38"/>
    <n v="1235656.02"/>
    <n v="6292054.2400000002"/>
    <n v="755675.72"/>
    <n v="8283385.9799999995"/>
    <d v="2028-11-09T00:00:00"/>
    <x v="0"/>
    <x v="1"/>
    <x v="0"/>
  </r>
  <r>
    <x v="26"/>
    <s v="39"/>
    <n v="1284087.81"/>
    <n v="6243622.4500000002"/>
    <n v="749859.06"/>
    <n v="8277569.3200000003"/>
    <d v="2028-12-09T00:00:00"/>
    <x v="0"/>
    <x v="1"/>
    <x v="0"/>
  </r>
  <r>
    <x v="26"/>
    <s v="40"/>
    <n v="1334417.8999999999"/>
    <n v="6193292.3600000003"/>
    <n v="743814.42"/>
    <n v="8271524.6799999997"/>
    <d v="2029-01-09T00:00:00"/>
    <x v="0"/>
    <x v="1"/>
    <x v="0"/>
  </r>
  <r>
    <x v="26"/>
    <s v="41"/>
    <n v="1386720.68"/>
    <n v="6140989.5800000001"/>
    <n v="737532.85"/>
    <n v="8265243.1099999994"/>
    <d v="2029-02-09T00:00:00"/>
    <x v="0"/>
    <x v="1"/>
    <x v="0"/>
  </r>
  <r>
    <x v="26"/>
    <s v="42"/>
    <n v="1441073.48"/>
    <n v="6086636.7800000003"/>
    <n v="731005.07"/>
    <n v="8258715.3300000001"/>
    <d v="2029-03-09T00:00:00"/>
    <x v="0"/>
    <x v="1"/>
    <x v="0"/>
  </r>
  <r>
    <x v="26"/>
    <s v="43"/>
    <n v="1497556.65"/>
    <n v="6030153.6100000003"/>
    <n v="724221.45"/>
    <n v="8251931.71"/>
    <d v="2029-04-09T00:00:00"/>
    <x v="0"/>
    <x v="1"/>
    <x v="0"/>
  </r>
  <r>
    <x v="26"/>
    <s v="44"/>
    <n v="1556253.69"/>
    <n v="5971456.5700000003"/>
    <n v="717171.94"/>
    <n v="8244882.1999999993"/>
    <d v="2029-05-09T00:00:00"/>
    <x v="0"/>
    <x v="1"/>
    <x v="0"/>
  </r>
  <r>
    <x v="26"/>
    <s v="45"/>
    <n v="1617251.37"/>
    <n v="5910458.8899999997"/>
    <n v="709846.11"/>
    <n v="8237556.3700000001"/>
    <d v="2029-06-09T00:00:00"/>
    <x v="0"/>
    <x v="1"/>
    <x v="0"/>
  </r>
  <r>
    <x v="26"/>
    <s v="46"/>
    <n v="1680639.87"/>
    <n v="5847070.3899999997"/>
    <n v="702233.16"/>
    <n v="8229943.4199999999"/>
    <d v="2029-07-09T00:00:00"/>
    <x v="0"/>
    <x v="1"/>
    <x v="0"/>
  </r>
  <r>
    <x v="26"/>
    <s v="47"/>
    <n v="1746512.9"/>
    <n v="5781197.3600000003"/>
    <n v="694321.8"/>
    <n v="8222032.0599999996"/>
    <d v="2029-08-09T00:00:00"/>
    <x v="0"/>
    <x v="1"/>
    <x v="0"/>
  </r>
  <r>
    <x v="26"/>
    <s v="48"/>
    <n v="1814967.83"/>
    <n v="5712742.4299999997"/>
    <n v="686100.37"/>
    <n v="8213810.6299999999"/>
    <d v="2029-09-09T00:00:00"/>
    <x v="0"/>
    <x v="1"/>
    <x v="0"/>
  </r>
  <r>
    <x v="26"/>
    <s v="49"/>
    <n v="1886105.87"/>
    <n v="5641604.3899999997"/>
    <n v="677556.69"/>
    <n v="8205266.9499999993"/>
    <d v="2029-10-09T00:00:00"/>
    <x v="0"/>
    <x v="1"/>
    <x v="0"/>
  </r>
  <r>
    <x v="26"/>
    <s v="50"/>
    <n v="1960032.17"/>
    <n v="5567678.0899999999"/>
    <n v="668678.14"/>
    <n v="8196388.3999999994"/>
    <d v="2029-11-09T00:00:00"/>
    <x v="0"/>
    <x v="1"/>
    <x v="0"/>
  </r>
  <r>
    <x v="26"/>
    <s v="51"/>
    <n v="2036856.03"/>
    <n v="5490854.2300000004"/>
    <n v="659451.59"/>
    <n v="8187161.8500000006"/>
    <d v="2029-12-09T00:00:00"/>
    <x v="0"/>
    <x v="1"/>
    <x v="0"/>
  </r>
  <r>
    <x v="26"/>
    <s v="52"/>
    <n v="2116691.02"/>
    <n v="5411019.2400000002"/>
    <n v="649863.41"/>
    <n v="8177573.6699999999"/>
    <d v="2030-01-09T00:00:00"/>
    <x v="0"/>
    <x v="1"/>
    <x v="0"/>
  </r>
  <r>
    <x v="26"/>
    <s v="53"/>
    <n v="2199655.16"/>
    <n v="5328055.0999999996"/>
    <n v="639899.43000000005"/>
    <n v="8167609.6899999995"/>
    <d v="2030-02-09T00:00:00"/>
    <x v="0"/>
    <x v="1"/>
    <x v="0"/>
  </r>
  <r>
    <x v="26"/>
    <s v="54"/>
    <n v="2285871.1"/>
    <n v="5241839.16"/>
    <n v="629544.88"/>
    <n v="8157255.1399999997"/>
    <d v="2030-03-09T00:00:00"/>
    <x v="0"/>
    <x v="1"/>
    <x v="0"/>
  </r>
  <r>
    <x v="26"/>
    <s v="55"/>
    <n v="2375466.2799999998"/>
    <n v="5152243.9800000004"/>
    <n v="618784.5"/>
    <n v="8146494.7599999998"/>
    <d v="2030-04-09T00:00:00"/>
    <x v="0"/>
    <x v="1"/>
    <x v="0"/>
  </r>
  <r>
    <x v="26"/>
    <s v="56"/>
    <n v="2468573.17"/>
    <n v="5059137.09"/>
    <n v="607602.36"/>
    <n v="8135312.6200000001"/>
    <d v="2030-05-09T00:00:00"/>
    <x v="0"/>
    <x v="1"/>
    <x v="0"/>
  </r>
  <r>
    <x v="26"/>
    <s v="57"/>
    <n v="2565329.4"/>
    <n v="4962380.8600000003"/>
    <n v="595981.93999999994"/>
    <n v="8123692.1999999993"/>
    <d v="2030-06-09T00:00:00"/>
    <x v="0"/>
    <x v="1"/>
    <x v="0"/>
  </r>
  <r>
    <x v="26"/>
    <s v="58"/>
    <n v="2665878.0099999998"/>
    <n v="4861832.25"/>
    <n v="583906.05000000005"/>
    <n v="8111616.3099999996"/>
    <d v="2030-07-09T00:00:00"/>
    <x v="0"/>
    <x v="1"/>
    <x v="0"/>
  </r>
  <r>
    <x v="26"/>
    <s v="59"/>
    <n v="2770367.65"/>
    <n v="4757342.6100000003"/>
    <n v="571356.84"/>
    <n v="8099067.0999999996"/>
    <d v="2030-08-09T00:00:00"/>
    <x v="0"/>
    <x v="1"/>
    <x v="0"/>
  </r>
  <r>
    <x v="26"/>
    <s v="60"/>
    <n v="2878952.78"/>
    <n v="4648757.4800000004"/>
    <n v="558315.78"/>
    <n v="8086026.04"/>
    <d v="2030-09-09T00:00:00"/>
    <x v="0"/>
    <x v="1"/>
    <x v="0"/>
  </r>
  <r>
    <x v="26"/>
    <s v="61"/>
    <n v="2991793.92"/>
    <n v="4535916.34"/>
    <n v="544763.56000000006"/>
    <n v="8072473.8200000003"/>
    <d v="2030-10-09T00:00:00"/>
    <x v="0"/>
    <x v="1"/>
    <x v="0"/>
  </r>
  <r>
    <x v="26"/>
    <s v="62"/>
    <n v="3109057.9"/>
    <n v="4418652.3600000003"/>
    <n v="530680.16"/>
    <n v="8058390.4199999999"/>
    <d v="2030-11-09T00:00:00"/>
    <x v="0"/>
    <x v="1"/>
    <x v="0"/>
  </r>
  <r>
    <x v="26"/>
    <s v="63"/>
    <n v="3230918.06"/>
    <n v="4296792.2"/>
    <n v="516044.74"/>
    <n v="8043755"/>
    <d v="2030-12-09T00:00:00"/>
    <x v="0"/>
    <x v="1"/>
    <x v="0"/>
  </r>
  <r>
    <x v="26"/>
    <s v="64"/>
    <n v="3357554.56"/>
    <n v="4170155.7"/>
    <n v="500835.71"/>
    <n v="8028545.9699999997"/>
    <d v="2031-01-09T00:00:00"/>
    <x v="0"/>
    <x v="1"/>
    <x v="0"/>
  </r>
  <r>
    <x v="26"/>
    <s v="65"/>
    <n v="3489154.6"/>
    <n v="4038555.66"/>
    <n v="485030.53"/>
    <n v="8012740.79"/>
    <d v="2031-02-09T00:00:00"/>
    <x v="0"/>
    <x v="1"/>
    <x v="0"/>
  </r>
  <r>
    <x v="26"/>
    <s v="66"/>
    <n v="3625912.72"/>
    <n v="3901797.54"/>
    <n v="468605.88"/>
    <n v="7996316.1399999997"/>
    <d v="2031-03-09T00:00:00"/>
    <x v="0"/>
    <x v="1"/>
    <x v="0"/>
  </r>
  <r>
    <x v="26"/>
    <s v="67"/>
    <n v="3768031.12"/>
    <n v="3759679.14"/>
    <n v="451537.47"/>
    <n v="7979247.7299999995"/>
    <d v="2031-04-09T00:00:00"/>
    <x v="0"/>
    <x v="1"/>
    <x v="0"/>
  </r>
  <r>
    <x v="26"/>
    <s v="68"/>
    <n v="3915719.87"/>
    <n v="3611990.39"/>
    <n v="433800.05"/>
    <n v="7961510.3099999996"/>
    <d v="2031-05-09T00:00:00"/>
    <x v="0"/>
    <x v="1"/>
    <x v="0"/>
  </r>
  <r>
    <x v="26"/>
    <s v="69"/>
    <n v="4069197.31"/>
    <n v="3458512.95"/>
    <n v="415367.4"/>
    <n v="7943077.6600000001"/>
    <d v="2031-06-09T00:00:00"/>
    <x v="0"/>
    <x v="1"/>
    <x v="0"/>
  </r>
  <r>
    <x v="26"/>
    <s v="70"/>
    <n v="4228690.34"/>
    <n v="3299019.92"/>
    <n v="396212.29"/>
    <n v="7923922.5499999998"/>
    <d v="2031-07-09T00:00:00"/>
    <x v="0"/>
    <x v="1"/>
    <x v="0"/>
  </r>
  <r>
    <x v="26"/>
    <s v="71"/>
    <n v="4394434.72"/>
    <n v="3133275.54"/>
    <n v="376306.39"/>
    <n v="7904016.6499999994"/>
    <d v="2031-08-09T00:00:00"/>
    <x v="0"/>
    <x v="1"/>
    <x v="0"/>
  </r>
  <r>
    <x v="26"/>
    <s v="72"/>
    <n v="4566675.49"/>
    <n v="2961034.77"/>
    <n v="355620.27"/>
    <n v="7883330.5299999993"/>
    <d v="2031-09-09T00:00:00"/>
    <x v="0"/>
    <x v="1"/>
    <x v="0"/>
  </r>
  <r>
    <x v="26"/>
    <s v="73"/>
    <n v="4745667.2699999996"/>
    <n v="2782042.99"/>
    <n v="334123.34999999998"/>
    <n v="7861833.6099999994"/>
    <d v="2031-10-09T00:00:00"/>
    <x v="0"/>
    <x v="1"/>
    <x v="0"/>
  </r>
  <r>
    <x v="26"/>
    <s v="74"/>
    <n v="4931674.67"/>
    <n v="2596035.59"/>
    <n v="311783.87"/>
    <n v="7839494.1299999999"/>
    <d v="2031-11-09T00:00:00"/>
    <x v="0"/>
    <x v="1"/>
    <x v="0"/>
  </r>
  <r>
    <x v="26"/>
    <s v="75"/>
    <n v="5124972.67"/>
    <n v="2402737.59"/>
    <n v="288568.78000000003"/>
    <n v="7816279.04"/>
    <d v="2031-12-09T00:00:00"/>
    <x v="0"/>
    <x v="1"/>
    <x v="0"/>
  </r>
  <r>
    <x v="26"/>
    <s v="76"/>
    <n v="5325847.03"/>
    <n v="2201863.23"/>
    <n v="264443.78000000003"/>
    <n v="7792154.04"/>
    <d v="2032-01-09T00:00:00"/>
    <x v="0"/>
    <x v="1"/>
    <x v="0"/>
  </r>
  <r>
    <x v="26"/>
    <s v="77"/>
    <n v="5534594.6900000004"/>
    <n v="1993115.57"/>
    <n v="239373.17"/>
    <n v="7767083.4300000006"/>
    <d v="2032-02-09T00:00:00"/>
    <x v="0"/>
    <x v="1"/>
    <x v="0"/>
  </r>
  <r>
    <x v="26"/>
    <s v="78"/>
    <n v="5751524.2699999996"/>
    <n v="1776185.99"/>
    <n v="213319.94"/>
    <n v="7741030.2000000002"/>
    <d v="2032-03-09T00:00:00"/>
    <x v="0"/>
    <x v="1"/>
    <x v="0"/>
  </r>
  <r>
    <x v="26"/>
    <s v="79"/>
    <n v="5976956.4400000004"/>
    <n v="1550753.82"/>
    <n v="186245.54"/>
    <n v="7713955.8000000007"/>
    <d v="2032-04-09T00:00:00"/>
    <x v="0"/>
    <x v="1"/>
    <x v="0"/>
  </r>
  <r>
    <x v="26"/>
    <s v="80"/>
    <n v="6211224.4699999997"/>
    <n v="1316485.79"/>
    <n v="158109.95000000001"/>
    <n v="7685820.21"/>
    <d v="2032-05-09T00:00:00"/>
    <x v="0"/>
    <x v="1"/>
    <x v="0"/>
  </r>
  <r>
    <x v="26"/>
    <s v="81"/>
    <n v="6454674.6900000004"/>
    <n v="1073035.57"/>
    <n v="128871.56"/>
    <n v="7656581.8200000003"/>
    <d v="2032-06-09T00:00:00"/>
    <x v="0"/>
    <x v="1"/>
    <x v="0"/>
  </r>
  <r>
    <x v="26"/>
    <s v="82"/>
    <n v="6707666.9900000002"/>
    <n v="820043.27"/>
    <n v="98487.19"/>
    <n v="7626197.4500000002"/>
    <d v="2032-07-09T00:00:00"/>
    <x v="0"/>
    <x v="1"/>
    <x v="0"/>
  </r>
  <r>
    <x v="26"/>
    <s v="83"/>
    <n v="6970575.3700000001"/>
    <n v="557134.89"/>
    <n v="66911.89"/>
    <n v="7594622.1499999994"/>
    <d v="2032-08-09T00:00:00"/>
    <x v="0"/>
    <x v="1"/>
    <x v="0"/>
  </r>
  <r>
    <x v="26"/>
    <s v="84"/>
    <n v="7243788.1100000003"/>
    <n v="283921.76"/>
    <n v="34099"/>
    <n v="7561808.8700000001"/>
    <d v="2032-09-09T00:00:00"/>
    <x v="0"/>
    <x v="1"/>
    <x v="0"/>
  </r>
  <r>
    <x v="25"/>
    <n v="1"/>
    <n v="0"/>
    <n v="5856164.46"/>
    <n v="703325.36"/>
    <n v="6559489.8200000003"/>
    <d v="2025-11-18T00:00:00"/>
    <x v="0"/>
    <x v="0"/>
    <x v="0"/>
  </r>
  <r>
    <x v="1"/>
    <n v="40"/>
    <n v="513570.7447868716"/>
    <n v="848591.03899991419"/>
    <n v="101830.92467998969"/>
    <n v="1463992.7084667755"/>
    <d v="2025-12-31T00:00:00"/>
    <x v="0"/>
    <x v="0"/>
    <x v="0"/>
  </r>
  <r>
    <x v="25"/>
    <n v="3"/>
    <n v="0"/>
    <n v="9246575.3399999999"/>
    <n v="1110513.7"/>
    <n v="10357089.039999999"/>
    <d v="2026-01-18T00:00:00"/>
    <x v="0"/>
    <x v="0"/>
    <x v="0"/>
  </r>
  <r>
    <x v="25"/>
    <n v="4"/>
    <n v="0"/>
    <n v="9246575.3399999999"/>
    <n v="1110513.7"/>
    <n v="10357089.039999999"/>
    <d v="2026-02-18T00:00:00"/>
    <x v="0"/>
    <x v="0"/>
    <x v="0"/>
  </r>
  <r>
    <x v="25"/>
    <n v="5"/>
    <n v="0"/>
    <n v="9246575.3399999999"/>
    <n v="1110513.7"/>
    <n v="10357089.039999999"/>
    <d v="2026-03-18T00:00:00"/>
    <x v="0"/>
    <x v="0"/>
    <x v="0"/>
  </r>
  <r>
    <x v="25"/>
    <n v="6"/>
    <n v="0"/>
    <n v="9246575.3399999999"/>
    <n v="1110513.7"/>
    <n v="10357089.039999999"/>
    <d v="2026-04-18T00:00:00"/>
    <x v="0"/>
    <x v="0"/>
    <x v="0"/>
  </r>
  <r>
    <x v="25"/>
    <n v="7"/>
    <n v="1284522.24"/>
    <n v="9246575.3399999999"/>
    <n v="1110513.7"/>
    <n v="11641611.279999999"/>
    <d v="2026-05-18T00:00:00"/>
    <x v="0"/>
    <x v="1"/>
    <x v="0"/>
  </r>
  <r>
    <x v="25"/>
    <n v="8"/>
    <n v="1350507.97"/>
    <n v="9180589.6099999994"/>
    <n v="1102588.81"/>
    <n v="11633686.390000001"/>
    <d v="2026-06-18T00:00:00"/>
    <x v="0"/>
    <x v="1"/>
    <x v="0"/>
  </r>
  <r>
    <x v="25"/>
    <n v="9"/>
    <n v="1419883.38"/>
    <n v="9111214.1999999993"/>
    <n v="1094256.82"/>
    <n v="11625354.399999999"/>
    <d v="2026-07-18T00:00:00"/>
    <x v="0"/>
    <x v="1"/>
    <x v="0"/>
  </r>
  <r>
    <x v="25"/>
    <n v="10"/>
    <n v="1492822.6"/>
    <n v="9038274.9800000004"/>
    <n v="1085496.82"/>
    <n v="11616594.4"/>
    <d v="2026-08-18T00:00:00"/>
    <x v="0"/>
    <x v="1"/>
    <x v="0"/>
  </r>
  <r>
    <x v="25"/>
    <n v="11"/>
    <n v="1569508.69"/>
    <n v="8961588.8900000006"/>
    <n v="1076286.82"/>
    <n v="11607384.4"/>
    <d v="2026-09-18T00:00:00"/>
    <x v="0"/>
    <x v="1"/>
    <x v="0"/>
  </r>
  <r>
    <x v="25"/>
    <n v="12"/>
    <n v="1650134.13"/>
    <n v="8880963.4499999993"/>
    <n v="1066603.71"/>
    <n v="11597701.289999999"/>
    <d v="2026-10-18T00:00:00"/>
    <x v="0"/>
    <x v="1"/>
    <x v="0"/>
  </r>
  <r>
    <x v="25"/>
    <n v="13"/>
    <n v="1734901.3"/>
    <n v="8796196.2799999993"/>
    <n v="1056423.17"/>
    <n v="11587520.75"/>
    <d v="2026-11-18T00:00:00"/>
    <x v="0"/>
    <x v="1"/>
    <x v="0"/>
  </r>
  <r>
    <x v="25"/>
    <n v="14"/>
    <n v="1824022.94"/>
    <n v="8707074.6400000006"/>
    <n v="1045719.67"/>
    <n v="11576817.25"/>
    <d v="2026-12-18T00:00:00"/>
    <x v="0"/>
    <x v="1"/>
    <x v="0"/>
  </r>
  <r>
    <x v="25"/>
    <n v="15"/>
    <n v="1917722.75"/>
    <n v="8613374.8300000001"/>
    <n v="1034466.32"/>
    <n v="11565563.9"/>
    <d v="2027-01-18T00:00:00"/>
    <x v="0"/>
    <x v="1"/>
    <x v="0"/>
  </r>
  <r>
    <x v="25"/>
    <n v="16"/>
    <n v="2016235.9"/>
    <n v="8514861.6799999997"/>
    <n v="1022634.9"/>
    <n v="11553732.48"/>
    <d v="2027-02-18T00:00:00"/>
    <x v="0"/>
    <x v="1"/>
    <x v="0"/>
  </r>
  <r>
    <x v="25"/>
    <n v="17"/>
    <n v="2119809.67"/>
    <n v="8411287.9100000001"/>
    <n v="1010195.68"/>
    <n v="11541293.26"/>
    <d v="2027-03-18T00:00:00"/>
    <x v="0"/>
    <x v="1"/>
    <x v="0"/>
  </r>
  <r>
    <x v="25"/>
    <n v="18"/>
    <n v="2228704"/>
    <n v="8302393.5800000001"/>
    <n v="997117.47"/>
    <n v="11528215.050000001"/>
    <d v="2027-04-18T00:00:00"/>
    <x v="0"/>
    <x v="1"/>
    <x v="0"/>
  </r>
  <r>
    <x v="25"/>
    <n v="19"/>
    <n v="2343192.2200000002"/>
    <n v="8187905.3600000003"/>
    <n v="983367.43"/>
    <n v="11514465.01"/>
    <d v="2027-05-18T00:00:00"/>
    <x v="0"/>
    <x v="1"/>
    <x v="0"/>
  </r>
  <r>
    <x v="25"/>
    <n v="20"/>
    <n v="2463561.6800000002"/>
    <n v="8067535.9000000004"/>
    <n v="968911.06"/>
    <n v="11500008.640000001"/>
    <d v="2027-06-18T00:00:00"/>
    <x v="0"/>
    <x v="1"/>
    <x v="0"/>
  </r>
  <r>
    <x v="25"/>
    <n v="21"/>
    <n v="2590114.5099999998"/>
    <n v="7940983.0700000003"/>
    <n v="953712.07"/>
    <n v="11484809.65"/>
    <d v="2027-07-18T00:00:00"/>
    <x v="0"/>
    <x v="1"/>
    <x v="0"/>
  </r>
  <r>
    <x v="25"/>
    <n v="22"/>
    <n v="2723168.33"/>
    <n v="7807929.25"/>
    <n v="937732.3"/>
    <n v="11468829.880000001"/>
    <d v="2027-08-18T00:00:00"/>
    <x v="0"/>
    <x v="1"/>
    <x v="0"/>
  </r>
  <r>
    <x v="25"/>
    <n v="23"/>
    <n v="2863057.12"/>
    <n v="7668040.46"/>
    <n v="920931.66"/>
    <n v="11452029.24"/>
    <d v="2027-09-18T00:00:00"/>
    <x v="0"/>
    <x v="1"/>
    <x v="0"/>
  </r>
  <r>
    <x v="25"/>
    <n v="24"/>
    <n v="3010131.97"/>
    <n v="7520965.6100000003"/>
    <n v="903267.97"/>
    <n v="11434365.550000001"/>
    <d v="2027-10-18T00:00:00"/>
    <x v="0"/>
    <x v="1"/>
    <x v="0"/>
  </r>
  <r>
    <x v="25"/>
    <n v="25"/>
    <n v="3164762.04"/>
    <n v="7366335.54"/>
    <n v="884696.89"/>
    <n v="11415794.470000001"/>
    <d v="2027-11-18T00:00:00"/>
    <x v="0"/>
    <x v="1"/>
    <x v="0"/>
  </r>
  <r>
    <x v="25"/>
    <n v="26"/>
    <n v="3327335.43"/>
    <n v="7203762.1500000004"/>
    <n v="865171.84"/>
    <n v="11396269.42"/>
    <d v="2027-12-18T00:00:00"/>
    <x v="0"/>
    <x v="1"/>
    <x v="0"/>
  </r>
  <r>
    <x v="25"/>
    <n v="27"/>
    <n v="3498260.2"/>
    <n v="7032837.3799999999"/>
    <n v="844643.76"/>
    <n v="11375741.34"/>
    <d v="2028-01-18T00:00:00"/>
    <x v="0"/>
    <x v="1"/>
    <x v="0"/>
  </r>
  <r>
    <x v="25"/>
    <n v="28"/>
    <n v="3677965.34"/>
    <n v="6853132.2400000002"/>
    <n v="823061.18"/>
    <n v="11354158.76"/>
    <d v="2028-02-18T00:00:00"/>
    <x v="0"/>
    <x v="1"/>
    <x v="0"/>
  </r>
  <r>
    <x v="25"/>
    <n v="29"/>
    <n v="3866901.92"/>
    <n v="6664195.6600000001"/>
    <n v="800369.89"/>
    <n v="11331467.470000001"/>
    <d v="2028-03-18T00:00:00"/>
    <x v="0"/>
    <x v="1"/>
    <x v="0"/>
  </r>
  <r>
    <x v="25"/>
    <n v="30"/>
    <n v="4065544.14"/>
    <n v="6465553.4400000004"/>
    <n v="776512.97"/>
    <n v="11307610.550000001"/>
    <d v="2028-04-18T00:00:00"/>
    <x v="0"/>
    <x v="1"/>
    <x v="0"/>
  </r>
  <r>
    <x v="25"/>
    <n v="31"/>
    <n v="4274390.59"/>
    <n v="6256706.9900000002"/>
    <n v="751430.5"/>
    <n v="11282528.08"/>
    <d v="2028-05-18T00:00:00"/>
    <x v="0"/>
    <x v="1"/>
    <x v="0"/>
  </r>
  <r>
    <x v="25"/>
    <n v="32"/>
    <n v="4493965.4400000004"/>
    <n v="6037132.1399999997"/>
    <n v="725059.56"/>
    <n v="11256157.140000001"/>
    <d v="2028-06-18T00:00:00"/>
    <x v="0"/>
    <x v="1"/>
    <x v="0"/>
  </r>
  <r>
    <x v="25"/>
    <n v="33"/>
    <n v="4724819.83"/>
    <n v="5806277.75"/>
    <n v="697333.96"/>
    <n v="11228431.539999999"/>
    <d v="2028-07-18T00:00:00"/>
    <x v="0"/>
    <x v="1"/>
    <x v="0"/>
  </r>
  <r>
    <x v="25"/>
    <n v="34"/>
    <n v="4967533.18"/>
    <n v="5563564.4000000004"/>
    <n v="668184.09"/>
    <n v="11199281.67"/>
    <d v="2028-08-18T00:00:00"/>
    <x v="0"/>
    <x v="1"/>
    <x v="0"/>
  </r>
  <r>
    <x v="25"/>
    <n v="35"/>
    <n v="5222714.68"/>
    <n v="5308382.9000000004"/>
    <n v="637536.78"/>
    <n v="11168634.359999999"/>
    <d v="2028-09-18T00:00:00"/>
    <x v="0"/>
    <x v="1"/>
    <x v="0"/>
  </r>
  <r>
    <x v="25"/>
    <n v="36"/>
    <n v="5491004.8200000003"/>
    <n v="5040092.76"/>
    <n v="605315.14"/>
    <n v="11136412.720000001"/>
    <d v="2028-10-18T00:00:00"/>
    <x v="0"/>
    <x v="1"/>
    <x v="0"/>
  </r>
  <r>
    <x v="25"/>
    <n v="37"/>
    <n v="5773076.9800000004"/>
    <n v="4758020.5999999996"/>
    <n v="571438.27"/>
    <n v="11102535.85"/>
    <d v="2028-11-18T00:00:00"/>
    <x v="0"/>
    <x v="1"/>
    <x v="0"/>
  </r>
  <r>
    <x v="25"/>
    <n v="38"/>
    <n v="6069639.1600000001"/>
    <n v="4461458.42"/>
    <n v="535821.16"/>
    <n v="11066918.74"/>
    <d v="2028-12-18T00:00:00"/>
    <x v="0"/>
    <x v="1"/>
    <x v="0"/>
  </r>
  <r>
    <x v="25"/>
    <n v="39"/>
    <n v="6381435.6900000004"/>
    <n v="4149661.89"/>
    <n v="498374.40000000002"/>
    <n v="11029471.98"/>
    <d v="2029-01-18T00:00:00"/>
    <x v="0"/>
    <x v="1"/>
    <x v="0"/>
  </r>
  <r>
    <x v="25"/>
    <n v="40"/>
    <n v="6709249.1699999999"/>
    <n v="3821848.41"/>
    <n v="459003.99"/>
    <n v="10990101.57"/>
    <d v="2029-02-18T00:00:00"/>
    <x v="0"/>
    <x v="1"/>
    <x v="0"/>
  </r>
  <r>
    <x v="25"/>
    <n v="41"/>
    <n v="7053902.3799999999"/>
    <n v="3477195.2"/>
    <n v="417611.15"/>
    <n v="10948708.73"/>
    <d v="2029-03-18T00:00:00"/>
    <x v="0"/>
    <x v="1"/>
    <x v="0"/>
  </r>
  <r>
    <x v="25"/>
    <n v="42"/>
    <n v="7416260.3700000001"/>
    <n v="3114837.21"/>
    <n v="374091.95"/>
    <n v="10905189.529999999"/>
    <d v="2029-04-18T00:00:00"/>
    <x v="0"/>
    <x v="1"/>
    <x v="0"/>
  </r>
  <r>
    <x v="25"/>
    <n v="43"/>
    <n v="7797232.6500000004"/>
    <n v="2733864.93"/>
    <n v="328337.18"/>
    <n v="10859434.76"/>
    <d v="2029-05-18T00:00:00"/>
    <x v="0"/>
    <x v="1"/>
    <x v="0"/>
  </r>
  <r>
    <x v="25"/>
    <n v="44"/>
    <n v="8197775.4299999997"/>
    <n v="2333322.15"/>
    <n v="280231.99"/>
    <n v="10811329.57"/>
    <d v="2029-06-18T00:00:00"/>
    <x v="0"/>
    <x v="1"/>
    <x v="0"/>
  </r>
  <r>
    <x v="25"/>
    <n v="45"/>
    <n v="8618894.0299999993"/>
    <n v="1912203.55"/>
    <n v="229655.64"/>
    <n v="10760753.220000001"/>
    <d v="2029-07-18T00:00:00"/>
    <x v="0"/>
    <x v="1"/>
    <x v="0"/>
  </r>
  <r>
    <x v="25"/>
    <n v="46"/>
    <n v="9061645.4299999997"/>
    <n v="1469452.15"/>
    <n v="176481.21"/>
    <n v="10707578.790000001"/>
    <d v="2029-08-18T00:00:00"/>
    <x v="0"/>
    <x v="1"/>
    <x v="0"/>
  </r>
  <r>
    <x v="25"/>
    <n v="47"/>
    <n v="9527140.9199999999"/>
    <n v="1003956.66"/>
    <n v="120575.2"/>
    <n v="10651672.779999999"/>
    <d v="2029-09-18T00:00:00"/>
    <x v="0"/>
    <x v="1"/>
    <x v="0"/>
  </r>
  <r>
    <x v="25"/>
    <n v="48"/>
    <n v="10016548.779999999"/>
    <n v="514548.74"/>
    <n v="61797.3"/>
    <n v="10592894.82"/>
    <d v="2029-10-18T00:00:00"/>
    <x v="0"/>
    <x v="1"/>
    <x v="0"/>
  </r>
  <r>
    <x v="33"/>
    <n v="1"/>
    <n v="1810622.618158102"/>
    <n v="13750000"/>
    <n v="1650000"/>
    <n v="17210622.618158102"/>
    <d v="2025-11-07T00:00:00"/>
    <x v="5"/>
    <x v="0"/>
    <x v="0"/>
  </r>
  <r>
    <x v="33"/>
    <n v="2"/>
    <n v="1893609.4881570153"/>
    <n v="13667013.130001087"/>
    <n v="1640041.5756001305"/>
    <n v="17200664.193758234"/>
    <d v="2025-12-07T00:00:00"/>
    <x v="5"/>
    <x v="0"/>
    <x v="0"/>
  </r>
  <r>
    <x v="33"/>
    <n v="3"/>
    <n v="1980399.9230308793"/>
    <n v="13580222.695127223"/>
    <n v="1629626.7234152667"/>
    <n v="17190249.341573369"/>
    <d v="2026-01-05T00:00:00"/>
    <x v="5"/>
    <x v="0"/>
    <x v="0"/>
  </r>
  <r>
    <x v="33"/>
    <n v="4"/>
    <n v="2071168.2528364602"/>
    <n v="13489454.365321642"/>
    <n v="1618734.5238385971"/>
    <n v="17179357.1419967"/>
    <d v="2026-02-03T00:00:00"/>
    <x v="5"/>
    <x v="0"/>
    <x v="0"/>
  </r>
  <r>
    <x v="33"/>
    <n v="5"/>
    <n v="2166096.7977581304"/>
    <n v="13394525.820399972"/>
    <n v="1607343.0984479967"/>
    <n v="17167965.716606099"/>
    <d v="2026-03-03T00:00:00"/>
    <x v="5"/>
    <x v="0"/>
    <x v="0"/>
  </r>
  <r>
    <x v="33"/>
    <n v="6"/>
    <n v="2265376.234322045"/>
    <n v="13295246.383836057"/>
    <n v="1595429.5660603268"/>
    <n v="17156052.184218429"/>
    <d v="2026-04-07T00:00:00"/>
    <x v="5"/>
    <x v="0"/>
    <x v="0"/>
  </r>
  <r>
    <x v="33"/>
    <n v="7"/>
    <n v="2369205.9783951398"/>
    <n v="13191416.639762962"/>
    <n v="1582969.9967715554"/>
    <n v="17143592.614929657"/>
    <d v="2026-05-07T00:00:00"/>
    <x v="5"/>
    <x v="1"/>
    <x v="0"/>
  </r>
  <r>
    <x v="33"/>
    <n v="8"/>
    <n v="2477794.585738251"/>
    <n v="13082828.032419851"/>
    <n v="1569939.3638903822"/>
    <n v="17130561.982048485"/>
    <d v="2026-06-07T00:00:00"/>
    <x v="5"/>
    <x v="1"/>
    <x v="0"/>
  </r>
  <r>
    <x v="33"/>
    <n v="9"/>
    <n v="2591360.1709179208"/>
    <n v="12969262.447240181"/>
    <n v="1556311.4936688216"/>
    <n v="17116934.111826923"/>
    <d v="2026-07-07T00:00:00"/>
    <x v="5"/>
    <x v="1"/>
    <x v="0"/>
  </r>
  <r>
    <x v="33"/>
    <n v="10"/>
    <n v="2710130.8454183247"/>
    <n v="12850491.772739777"/>
    <n v="1542059.0127287733"/>
    <n v="17102681.630886875"/>
    <d v="2026-08-07T00:00:00"/>
    <x v="5"/>
    <x v="1"/>
    <x v="0"/>
  </r>
  <r>
    <x v="33"/>
    <n v="11"/>
    <n v="2834345.1758333314"/>
    <n v="12726277.442324771"/>
    <n v="1527153.2930789725"/>
    <n v="17087775.911237076"/>
    <d v="2026-09-07T00:00:00"/>
    <x v="5"/>
    <x v="1"/>
    <x v="0"/>
  </r>
  <r>
    <x v="33"/>
    <n v="12"/>
    <n v="2964252.6630590279"/>
    <n v="12596369.955099074"/>
    <n v="1511564.3946118888"/>
    <n v="17072187.01276999"/>
    <d v="2026-10-07T00:00:00"/>
    <x v="5"/>
    <x v="1"/>
    <x v="0"/>
  </r>
  <r>
    <x v="33"/>
    <n v="13"/>
    <n v="3100114.2434492335"/>
    <n v="12460508.374708869"/>
    <n v="1495261.0049650641"/>
    <n v="17055883.623123165"/>
    <d v="2026-11-07T00:00:00"/>
    <x v="5"/>
    <x v="1"/>
    <x v="0"/>
  </r>
  <r>
    <x v="33"/>
    <n v="14"/>
    <n v="3242202.8129406553"/>
    <n v="12318419.805217447"/>
    <n v="1478210.3766260936"/>
    <n v="17038832.994784195"/>
    <d v="2026-12-07T00:00:00"/>
    <x v="5"/>
    <x v="1"/>
    <x v="0"/>
  </r>
  <r>
    <x v="33"/>
    <n v="15"/>
    <n v="3390803.7752004359"/>
    <n v="12169818.842957666"/>
    <n v="1460378.2611549199"/>
    <n v="17021000.879313022"/>
    <d v="2027-01-07T00:00:00"/>
    <x v="5"/>
    <x v="1"/>
    <x v="0"/>
  </r>
  <r>
    <x v="33"/>
    <n v="16"/>
    <n v="3546215.6148971226"/>
    <n v="12014407.003260979"/>
    <n v="1441728.8403913176"/>
    <n v="17002351.458549421"/>
    <d v="2027-02-07T00:00:00"/>
    <x v="5"/>
    <x v="1"/>
    <x v="0"/>
  </r>
  <r>
    <x v="33"/>
    <n v="17"/>
    <n v="3708750.4972465746"/>
    <n v="11851872.120911527"/>
    <n v="1422224.6545093833"/>
    <n v="16982847.272667486"/>
    <d v="2027-03-07T00:00:00"/>
    <x v="5"/>
    <x v="1"/>
    <x v="0"/>
  </r>
  <r>
    <x v="33"/>
    <n v="18"/>
    <n v="3878734.895037042"/>
    <n v="11681887.72312106"/>
    <n v="1401826.5267745273"/>
    <n v="16962449.144932628"/>
    <d v="2027-04-07T00:00:00"/>
    <x v="5"/>
    <x v="1"/>
    <x v="0"/>
  </r>
  <r>
    <x v="33"/>
    <n v="19"/>
    <n v="4056510.2443929072"/>
    <n v="11504112.373765195"/>
    <n v="1380493.4848518234"/>
    <n v="16941116.103009924"/>
    <d v="2027-05-07T00:00:00"/>
    <x v="5"/>
    <x v="1"/>
    <x v="0"/>
  </r>
  <r>
    <x v="33"/>
    <n v="20"/>
    <n v="4242433.630594248"/>
    <n v="11318188.987563854"/>
    <n v="1358182.6785076624"/>
    <n v="16918805.296665765"/>
    <d v="2027-06-07T00:00:00"/>
    <x v="5"/>
    <x v="1"/>
    <x v="0"/>
  </r>
  <r>
    <x v="33"/>
    <n v="21"/>
    <n v="4436878.5053298175"/>
    <n v="11123744.112828285"/>
    <n v="1334849.2935393942"/>
    <n v="16895471.911697496"/>
    <d v="2027-07-07T00:00:00"/>
    <x v="5"/>
    <x v="1"/>
    <x v="0"/>
  </r>
  <r>
    <x v="33"/>
    <n v="22"/>
    <n v="4640235.436824102"/>
    <n v="10920387.181334"/>
    <n v="1310446.46176008"/>
    <n v="16871069.079918183"/>
    <d v="2027-08-07T00:00:00"/>
    <x v="5"/>
    <x v="1"/>
    <x v="0"/>
  </r>
  <r>
    <x v="33"/>
    <n v="23"/>
    <n v="4852912.8943452071"/>
    <n v="10707709.723812895"/>
    <n v="1284925.1668575474"/>
    <n v="16845547.78501565"/>
    <d v="2027-09-07T00:00:00"/>
    <x v="5"/>
    <x v="1"/>
    <x v="0"/>
  </r>
  <r>
    <x v="33"/>
    <n v="24"/>
    <n v="5075338.068669362"/>
    <n v="10485284.54948874"/>
    <n v="1258234.1459386488"/>
    <n v="16818856.764096752"/>
    <d v="2027-10-07T00:00:00"/>
    <x v="5"/>
    <x v="1"/>
    <x v="0"/>
  </r>
  <r>
    <x v="33"/>
    <n v="25"/>
    <n v="5307957.7301500402"/>
    <n v="10252664.888008062"/>
    <n v="1230319.7865609673"/>
    <n v="16790942.40471907"/>
    <d v="2027-11-07T00:00:00"/>
    <x v="5"/>
    <x v="1"/>
    <x v="0"/>
  </r>
  <r>
    <x v="33"/>
    <n v="26"/>
    <n v="5551239.1261152495"/>
    <n v="10009383.492042853"/>
    <n v="1201126.0190451422"/>
    <n v="16761748.637203244"/>
    <d v="2027-12-07T00:00:00"/>
    <x v="5"/>
    <x v="1"/>
    <x v="0"/>
  </r>
  <r>
    <x v="33"/>
    <n v="27"/>
    <n v="5805670.9193955325"/>
    <n v="9754951.6987625696"/>
    <n v="1170594.2038515084"/>
    <n v="16731216.82200961"/>
    <d v="2028-01-07T00:00:00"/>
    <x v="5"/>
    <x v="1"/>
    <x v="0"/>
  </r>
  <r>
    <x v="33"/>
    <n v="28"/>
    <n v="6071764.1698678285"/>
    <n v="9488858.4482902735"/>
    <n v="1138663.0137948329"/>
    <n v="16699285.631952934"/>
    <d v="2028-02-07T00:00:00"/>
    <x v="5"/>
    <x v="1"/>
    <x v="0"/>
  </r>
  <r>
    <x v="33"/>
    <n v="29"/>
    <n v="6350053.3609867692"/>
    <n v="9210569.2571713328"/>
    <n v="1105268.31086056"/>
    <n v="16665890.929018661"/>
    <d v="2028-03-07T00:00:00"/>
    <x v="5"/>
    <x v="1"/>
    <x v="0"/>
  </r>
  <r>
    <x v="33"/>
    <n v="30"/>
    <n v="6641097.4733653311"/>
    <n v="8919525.144792771"/>
    <n v="1070343.0173751325"/>
    <n v="16630965.635533234"/>
    <d v="2028-04-07T00:00:00"/>
    <x v="5"/>
    <x v="1"/>
    <x v="0"/>
  </r>
  <r>
    <x v="33"/>
    <n v="31"/>
    <n v="6945481.1075612418"/>
    <n v="8615141.5105968602"/>
    <n v="1033816.9812716232"/>
    <n v="16594439.599429725"/>
    <d v="2028-05-07T00:00:00"/>
    <x v="5"/>
    <x v="1"/>
    <x v="0"/>
  </r>
  <r>
    <x v="33"/>
    <n v="32"/>
    <n v="7263815.6583244642"/>
    <n v="8296806.9598336378"/>
    <n v="995616.83518003649"/>
    <n v="16556239.453338139"/>
    <d v="2028-06-07T00:00:00"/>
    <x v="5"/>
    <x v="1"/>
    <x v="0"/>
  </r>
  <r>
    <x v="33"/>
    <n v="33"/>
    <n v="7596740.5426643351"/>
    <n v="7963882.0754937669"/>
    <n v="955665.84905925207"/>
    <n v="16516288.467217354"/>
    <d v="2028-07-07T00:00:00"/>
    <x v="5"/>
    <x v="1"/>
    <x v="0"/>
  </r>
  <r>
    <x v="33"/>
    <n v="34"/>
    <n v="7944924.4842031179"/>
    <n v="7615698.1339549841"/>
    <n v="913883.77607459808"/>
    <n v="16474506.3942327"/>
    <d v="2028-08-07T00:00:00"/>
    <x v="5"/>
    <x v="1"/>
    <x v="0"/>
  </r>
  <r>
    <x v="33"/>
    <n v="35"/>
    <n v="8309066.8563957615"/>
    <n v="7251555.7617623406"/>
    <n v="870186.69141148089"/>
    <n v="16430809.309569582"/>
    <d v="2028-09-07T00:00:00"/>
    <x v="5"/>
    <x v="1"/>
    <x v="0"/>
  </r>
  <r>
    <x v="33"/>
    <n v="36"/>
    <n v="8689899.0873138998"/>
    <n v="6870723.5308442023"/>
    <n v="824486.82370130427"/>
    <n v="16385109.441859405"/>
    <d v="2028-10-07T00:00:00"/>
    <x v="5"/>
    <x v="1"/>
    <x v="0"/>
  </r>
  <r>
    <x v="33"/>
    <n v="37"/>
    <n v="9088186.1288157869"/>
    <n v="6472436.4893423151"/>
    <n v="776692.37872107781"/>
    <n v="16337314.996879179"/>
    <d v="2028-11-07T00:00:00"/>
    <x v="5"/>
    <x v="1"/>
    <x v="0"/>
  </r>
  <r>
    <x v="33"/>
    <n v="38"/>
    <n v="9504727.9930531755"/>
    <n v="6055894.6251049256"/>
    <n v="726707.35501259111"/>
    <n v="16287329.973170692"/>
    <d v="2028-12-07T00:00:00"/>
    <x v="5"/>
    <x v="1"/>
    <x v="0"/>
  </r>
  <r>
    <x v="33"/>
    <n v="39"/>
    <n v="9940361.3594014477"/>
    <n v="5620261.2587566543"/>
    <n v="674431.35105079855"/>
    <n v="16235053.9692089"/>
    <d v="2029-01-07T00:00:00"/>
    <x v="5"/>
    <x v="1"/>
    <x v="0"/>
  </r>
  <r>
    <x v="33"/>
    <n v="40"/>
    <n v="10395961.255040681"/>
    <n v="5164661.363117421"/>
    <n v="619759.36357409053"/>
    <n v="16180381.981732193"/>
    <d v="2029-02-07T00:00:00"/>
    <x v="5"/>
    <x v="1"/>
    <x v="0"/>
  </r>
  <r>
    <x v="33"/>
    <n v="41"/>
    <n v="10872442.812563378"/>
    <n v="4688179.8055947237"/>
    <n v="562581.57667136681"/>
    <n v="16123204.19482947"/>
    <d v="2029-03-07T00:00:00"/>
    <x v="5"/>
    <x v="1"/>
    <x v="0"/>
  </r>
  <r>
    <x v="33"/>
    <n v="42"/>
    <n v="11370763.1081392"/>
    <n v="4189859.5100189024"/>
    <n v="502783.14120226831"/>
    <n v="16063405.759360371"/>
    <d v="2029-04-07T00:00:00"/>
    <x v="5"/>
    <x v="1"/>
    <x v="0"/>
  </r>
  <r>
    <x v="33"/>
    <n v="43"/>
    <n v="11891923.083928913"/>
    <n v="3668699.5342291892"/>
    <n v="440243.9441075027"/>
    <n v="16000866.562265605"/>
    <d v="2029-05-07T00:00:00"/>
    <x v="5"/>
    <x v="1"/>
    <x v="0"/>
  </r>
  <r>
    <x v="33"/>
    <n v="44"/>
    <n v="12436969.558608988"/>
    <n v="3123653.0595491137"/>
    <n v="374838.36714589363"/>
    <n v="15935460.985303996"/>
    <d v="2029-06-07T00:00:00"/>
    <x v="5"/>
    <x v="1"/>
    <x v="0"/>
  </r>
  <r>
    <x v="33"/>
    <n v="45"/>
    <n v="13006997.330045234"/>
    <n v="2553625.2881128686"/>
    <n v="306435.03457354422"/>
    <n v="15867057.652731648"/>
    <d v="2029-07-07T00:00:00"/>
    <x v="5"/>
    <x v="1"/>
    <x v="0"/>
  </r>
  <r>
    <x v="33"/>
    <n v="46"/>
    <n v="13603151.374338973"/>
    <n v="1957471.243819129"/>
    <n v="234896.54925829548"/>
    <n v="15795519.167416397"/>
    <d v="2029-08-07T00:00:00"/>
    <x v="5"/>
    <x v="1"/>
    <x v="0"/>
  </r>
  <r>
    <x v="33"/>
    <n v="47"/>
    <n v="14226629.145662842"/>
    <n v="1333993.4724952593"/>
    <n v="160079.2166994311"/>
    <n v="15720701.834857533"/>
    <d v="2029-09-07T00:00:00"/>
    <x v="5"/>
    <x v="1"/>
    <x v="0"/>
  </r>
  <r>
    <x v="33"/>
    <n v="48"/>
    <n v="14878682.981505724"/>
    <n v="681939.63665237895"/>
    <n v="81832.756398285477"/>
    <n v="15642455.374556389"/>
    <d v="2029-10-07T00:00:00"/>
    <x v="5"/>
    <x v="1"/>
    <x v="0"/>
  </r>
  <r>
    <x v="34"/>
    <n v="1"/>
    <n v="27777777.739999998"/>
    <n v="34855502.5"/>
    <n v="4182660.3"/>
    <n v="66815940.539999992"/>
    <d v="2025-11-25T00:00:00"/>
    <x v="4"/>
    <x v="0"/>
    <x v="1"/>
  </r>
  <r>
    <x v="34"/>
    <n v="2"/>
    <n v="27777777.780000001"/>
    <n v="26082157.166666668"/>
    <n v="3129858.86"/>
    <n v="56989793.806666672"/>
    <d v="2025-12-25T00:00:00"/>
    <x v="4"/>
    <x v="0"/>
    <x v="1"/>
  </r>
  <r>
    <x v="34"/>
    <n v="3"/>
    <n v="27777777.780000001"/>
    <n v="24547912.583333332"/>
    <n v="2945749.51"/>
    <n v="55271439.873333327"/>
    <d v="2026-01-25T00:00:00"/>
    <x v="4"/>
    <x v="0"/>
    <x v="1"/>
  </r>
  <r>
    <x v="34"/>
    <n v="4"/>
    <n v="27777777.780000001"/>
    <n v="22271291.75"/>
    <n v="2672555.0099999998"/>
    <n v="52721624.539999999"/>
    <d v="2026-02-25T00:00:00"/>
    <x v="4"/>
    <x v="0"/>
    <x v="1"/>
  </r>
  <r>
    <x v="34"/>
    <n v="5"/>
    <n v="27777777.780000001"/>
    <n v="19400769.583333336"/>
    <n v="2328092.35"/>
    <n v="49506639.713333338"/>
    <d v="2026-03-25T00:00:00"/>
    <x v="4"/>
    <x v="0"/>
    <x v="1"/>
  </r>
  <r>
    <x v="34"/>
    <n v="6"/>
    <n v="27777777.780000001"/>
    <n v="21231964.75"/>
    <n v="2547835.77"/>
    <n v="51557578.300000004"/>
    <d v="2026-04-25T00:00:00"/>
    <x v="4"/>
    <x v="1"/>
    <x v="1"/>
  </r>
  <r>
    <x v="34"/>
    <n v="7"/>
    <n v="27777777.780000001"/>
    <n v="16629231.166666668"/>
    <n v="1995507.74"/>
    <n v="46402516.686666675"/>
    <d v="2026-05-25T00:00:00"/>
    <x v="4"/>
    <x v="1"/>
    <x v="1"/>
  </r>
  <r>
    <x v="34"/>
    <n v="8"/>
    <n v="27777777.780000001"/>
    <n v="16876689.916666668"/>
    <n v="2025202.79"/>
    <n v="46679670.486666672"/>
    <d v="2026-06-25T00:00:00"/>
    <x v="4"/>
    <x v="1"/>
    <x v="1"/>
  </r>
  <r>
    <x v="34"/>
    <n v="9"/>
    <n v="27777777.780000001"/>
    <n v="15837362.916666668"/>
    <n v="1900483.55"/>
    <n v="45515624.24666667"/>
    <d v="2026-07-25T00:00:00"/>
    <x v="4"/>
    <x v="1"/>
    <x v="1"/>
  </r>
  <r>
    <x v="34"/>
    <n v="10"/>
    <n v="27777777.780000001"/>
    <n v="12917349.166666666"/>
    <n v="1550081.9"/>
    <n v="42245208.846666664"/>
    <d v="2026-08-25T00:00:00"/>
    <x v="4"/>
    <x v="1"/>
    <x v="1"/>
  </r>
  <r>
    <x v="34"/>
    <n v="11"/>
    <n v="27777777.780000001"/>
    <n v="12273956.25"/>
    <n v="1472874.75"/>
    <n v="41524608.780000001"/>
    <d v="2026-07-25T00:00:00"/>
    <x v="4"/>
    <x v="1"/>
    <x v="1"/>
  </r>
  <r>
    <x v="34"/>
    <n v="12"/>
    <n v="27777777.780000001"/>
    <n v="10739711.75"/>
    <n v="1288765.4099999999"/>
    <n v="39806254.939999998"/>
    <d v="2026-08-25T00:00:00"/>
    <x v="4"/>
    <x v="1"/>
    <x v="1"/>
  </r>
  <r>
    <x v="34"/>
    <n v="13"/>
    <n v="27777777.780000001"/>
    <n v="8908516.6666666679"/>
    <n v="1069022"/>
    <n v="37755316.446666673"/>
    <d v="2026-09-25T00:00:00"/>
    <x v="4"/>
    <x v="1"/>
    <x v="1"/>
  </r>
  <r>
    <x v="34"/>
    <n v="14"/>
    <n v="27777777.780000001"/>
    <n v="7423763.916666667"/>
    <n v="890851.67"/>
    <n v="36092393.366666667"/>
    <d v="2026-10-25T00:00:00"/>
    <x v="4"/>
    <x v="1"/>
    <x v="1"/>
  </r>
  <r>
    <x v="34"/>
    <n v="15"/>
    <n v="27777777.780000001"/>
    <n v="6136978.083333334"/>
    <n v="736437.37"/>
    <n v="34651193.233333334"/>
    <d v="2026-11-25T00:00:00"/>
    <x v="4"/>
    <x v="1"/>
    <x v="1"/>
  </r>
  <r>
    <x v="34"/>
    <n v="16"/>
    <n v="27777777.780000001"/>
    <n v="4602733.583333334"/>
    <n v="552328.03"/>
    <n v="32932839.393333338"/>
    <d v="2026-12-25T00:00:00"/>
    <x v="4"/>
    <x v="1"/>
    <x v="1"/>
  </r>
  <r>
    <x v="34"/>
    <n v="17"/>
    <n v="27777777.780000001"/>
    <n v="2771538.5"/>
    <n v="332584.62"/>
    <n v="30881900.900000002"/>
    <d v="2026-01-25T00:00:00"/>
    <x v="4"/>
    <x v="0"/>
    <x v="1"/>
  </r>
  <r>
    <x v="34"/>
    <n v="18"/>
    <n v="27777777.780000001"/>
    <n v="1583736.25"/>
    <n v="190048.35"/>
    <n v="29551562.380000003"/>
    <d v="2026-02-25T00:00:00"/>
    <x v="4"/>
    <x v="0"/>
    <x v="1"/>
  </r>
  <r>
    <x v="35"/>
    <n v="1"/>
    <n v="22222222.222222224"/>
    <n v="25076840"/>
    <n v="3009220.8"/>
    <n v="50308283.020000003"/>
    <d v="2025-12-05T00:00:00"/>
    <x v="4"/>
    <x v="0"/>
    <x v="1"/>
  </r>
  <r>
    <x v="35"/>
    <n v="2"/>
    <n v="22222222.222222224"/>
    <n v="24473138.267857142"/>
    <n v="2936776.5921428567"/>
    <n v="49632137.079999998"/>
    <d v="2026-01-05T00:00:00"/>
    <x v="4"/>
    <x v="0"/>
    <x v="1"/>
  </r>
  <r>
    <x v="35"/>
    <n v="3"/>
    <n v="22222222.222222224"/>
    <n v="23033541.901785713"/>
    <n v="2764025.0282142856"/>
    <n v="48019789.149999999"/>
    <d v="2026-02-05T00:00:00"/>
    <x v="4"/>
    <x v="0"/>
    <x v="1"/>
  </r>
  <r>
    <x v="35"/>
    <n v="4"/>
    <n v="22222222.222222224"/>
    <n v="19504208.866071425"/>
    <n v="2340505.0639285711"/>
    <n v="44066936.149999999"/>
    <d v="2026-03-05T00:00:00"/>
    <x v="4"/>
    <x v="0"/>
    <x v="1"/>
  </r>
  <r>
    <x v="35"/>
    <n v="5"/>
    <n v="22222222.222222224"/>
    <n v="20804489.464285716"/>
    <n v="2496538.7357142861"/>
    <n v="45523250.420000002"/>
    <d v="2026-04-05T00:00:00"/>
    <x v="4"/>
    <x v="0"/>
    <x v="1"/>
  </r>
  <r>
    <x v="35"/>
    <n v="6"/>
    <n v="22222222.222222224"/>
    <n v="17507349.401785713"/>
    <n v="2100881.9282142855"/>
    <n v="41830453.549999997"/>
    <d v="2026-05-05T00:00:00"/>
    <x v="4"/>
    <x v="1"/>
    <x v="1"/>
  </r>
  <r>
    <x v="35"/>
    <n v="7"/>
    <n v="22222222.222222224"/>
    <n v="17275156.4375"/>
    <n v="2073018.7725"/>
    <n v="41570397.43"/>
    <d v="2026-06-05T00:00:00"/>
    <x v="4"/>
    <x v="1"/>
    <x v="1"/>
  </r>
  <r>
    <x v="35"/>
    <n v="8"/>
    <n v="22222222.222222224"/>
    <n v="15835560.062500002"/>
    <n v="1900267.2075000003"/>
    <n v="39958049.490000002"/>
    <d v="2026-07-05T00:00:00"/>
    <x v="4"/>
    <x v="1"/>
    <x v="1"/>
  </r>
  <r>
    <x v="35"/>
    <n v="9"/>
    <n v="22222222.222222224"/>
    <n v="13931577.785714289"/>
    <n v="1671789.3342857147"/>
    <n v="37825589.340000004"/>
    <d v="2026-08-05T00:00:00"/>
    <x v="4"/>
    <x v="1"/>
    <x v="1"/>
  </r>
  <r>
    <x v="35"/>
    <n v="10"/>
    <n v="22222222.222222224"/>
    <n v="13792261.999999996"/>
    <n v="1655071.4399999995"/>
    <n v="37669555.659999996"/>
    <d v="2026-09-05T00:00:00"/>
    <x v="4"/>
    <x v="1"/>
    <x v="1"/>
  </r>
  <r>
    <x v="35"/>
    <n v="11"/>
    <n v="22222222.222222224"/>
    <n v="10402244.732142858"/>
    <n v="1248269.3678571431"/>
    <n v="33872736.32"/>
    <d v="2026-10-05T00:00:00"/>
    <x v="4"/>
    <x v="1"/>
    <x v="1"/>
  </r>
  <r>
    <x v="35"/>
    <n v="12"/>
    <n v="22222222.222222224"/>
    <n v="10077174.580357144"/>
    <n v="1209260.9496428573"/>
    <n v="33508657.75"/>
    <d v="2026-11-05T00:00:00"/>
    <x v="4"/>
    <x v="1"/>
    <x v="1"/>
  </r>
  <r>
    <x v="35"/>
    <n v="13"/>
    <n v="22222222.222222224"/>
    <n v="8916209.7857142854"/>
    <n v="1069945.1742857143"/>
    <n v="32208377.18"/>
    <d v="2026-12-05T00:00:00"/>
    <x v="4"/>
    <x v="1"/>
    <x v="1"/>
  </r>
  <r>
    <x v="35"/>
    <n v="14"/>
    <n v="22222222.222222224"/>
    <n v="6733595.9196428563"/>
    <n v="808031.51035714278"/>
    <n v="29763849.649999999"/>
    <d v="2027-01-05T00:00:00"/>
    <x v="4"/>
    <x v="1"/>
    <x v="1"/>
  </r>
  <r>
    <x v="35"/>
    <n v="15"/>
    <n v="22222222.222222224"/>
    <n v="5758385.4821428582"/>
    <n v="691006.25785714295"/>
    <n v="28671613.960000001"/>
    <d v="2027-02-05T00:00:00"/>
    <x v="4"/>
    <x v="1"/>
    <x v="1"/>
  </r>
  <r>
    <x v="35"/>
    <n v="16"/>
    <n v="22222222.222222224"/>
    <n v="3900841.7857142859"/>
    <n v="468101.01428571431"/>
    <n v="26591165.02"/>
    <d v="2027-03-05T00:00:00"/>
    <x v="4"/>
    <x v="1"/>
    <x v="1"/>
  </r>
  <r>
    <x v="35"/>
    <n v="17"/>
    <n v="22222222.222222224"/>
    <n v="2879192.7410714291"/>
    <n v="345503.12892857147"/>
    <n v="25446918.09"/>
    <d v="2027-04-05T00:00:00"/>
    <x v="4"/>
    <x v="1"/>
    <x v="1"/>
  </r>
  <r>
    <x v="35"/>
    <n v="18"/>
    <n v="22222222.222222224"/>
    <n v="1393157.7857142845"/>
    <n v="167178.93428571415"/>
    <n v="23782558.98"/>
    <d v="2027-05-05T00:00:00"/>
    <x v="4"/>
    <x v="1"/>
    <x v="1"/>
  </r>
  <r>
    <x v="36"/>
    <n v="1"/>
    <n v="41666666.666666664"/>
    <n v="17972602.739999998"/>
    <n v="2156712.33"/>
    <n v="61795981.810000002"/>
    <d v="2025-12-22T00:00:00"/>
    <x v="2"/>
    <x v="0"/>
    <x v="0"/>
  </r>
  <r>
    <x v="36"/>
    <n v="2"/>
    <n v="41666666.666666664"/>
    <n v="13326198.627976194"/>
    <n v="1599143.8353571431"/>
    <n v="56592009.130000003"/>
    <d v="2026-01-22T00:00:00"/>
    <x v="2"/>
    <x v="0"/>
    <x v="0"/>
  </r>
  <r>
    <x v="36"/>
    <n v="3"/>
    <n v="41666666.666666664"/>
    <n v="14041095.890000001"/>
    <n v="1684931.51"/>
    <n v="57392694.060000002"/>
    <d v="2026-02-20T00:00:00"/>
    <x v="2"/>
    <x v="0"/>
    <x v="0"/>
  </r>
  <r>
    <x v="36"/>
    <n v="4"/>
    <n v="41666666.666666664"/>
    <n v="13058219.18"/>
    <n v="1566986.3"/>
    <n v="56291272.140000001"/>
    <d v="2026-03-23T00:00:00"/>
    <x v="2"/>
    <x v="0"/>
    <x v="0"/>
  </r>
  <r>
    <x v="36"/>
    <n v="5"/>
    <n v="41666666.666666664"/>
    <n v="10858447.49"/>
    <n v="1303013.7"/>
    <n v="53828127.850000001"/>
    <d v="2026-04-21T00:00:00"/>
    <x v="2"/>
    <x v="1"/>
    <x v="0"/>
  </r>
  <r>
    <x v="36"/>
    <n v="6"/>
    <n v="41666666.666666664"/>
    <n v="9828767.1199999992"/>
    <n v="1179452.06"/>
    <n v="52674885.840000004"/>
    <d v="2026-05-21T00:00:00"/>
    <x v="2"/>
    <x v="1"/>
    <x v="0"/>
  </r>
  <r>
    <x v="36"/>
    <n v="7"/>
    <n v="41666666.666666664"/>
    <n v="8982631.3699999992"/>
    <n v="1078356.1599999999"/>
    <n v="51731342.189999998"/>
    <d v="2026-06-22T00:00:00"/>
    <x v="2"/>
    <x v="1"/>
    <x v="0"/>
  </r>
  <r>
    <x v="36"/>
    <n v="8"/>
    <n v="41666666.666666664"/>
    <n v="6552511.4100000001"/>
    <n v="786301.37"/>
    <n v="49007549.439999998"/>
    <d v="2026-07-20T00:00:00"/>
    <x v="2"/>
    <x v="1"/>
    <x v="0"/>
  </r>
  <r>
    <x v="36"/>
    <n v="9"/>
    <n v="41666666.666666664"/>
    <n v="5616438.3600000003"/>
    <n v="673522.61"/>
    <n v="47957077.630000003"/>
    <d v="2026-08-19T00:00:00"/>
    <x v="2"/>
    <x v="1"/>
    <x v="0"/>
  </r>
  <r>
    <x v="36"/>
    <n v="10"/>
    <n v="41666666.666666664"/>
    <n v="4212328.7699999996"/>
    <n v="505479.45"/>
    <n v="46384447.880000003"/>
    <d v="2026-09-18T00:00:00"/>
    <x v="2"/>
    <x v="1"/>
    <x v="0"/>
  </r>
  <r>
    <x v="36"/>
    <n v="11"/>
    <n v="41666666.666666664"/>
    <n v="2901826.48"/>
    <n v="348219.18000000005"/>
    <n v="44916712.32"/>
    <d v="2026-10-19T00:00:00"/>
    <x v="2"/>
    <x v="1"/>
    <x v="0"/>
  </r>
  <r>
    <x v="36"/>
    <n v="12"/>
    <n v="41666666.666666664"/>
    <n v="1357305.94"/>
    <n v="162876.71"/>
    <n v="43186849.310000002"/>
    <d v="2026-11-17T00:00:00"/>
    <x v="2"/>
    <x v="1"/>
    <x v="0"/>
  </r>
  <r>
    <x v="37"/>
    <n v="1"/>
    <n v="22222222.219999999"/>
    <n v="13638088.52"/>
    <n v="1636570.62"/>
    <n v="37496881.359999999"/>
    <d v="2026-01-19T00:00:00"/>
    <x v="4"/>
    <x v="0"/>
    <x v="0"/>
  </r>
  <r>
    <x v="37"/>
    <n v="2"/>
    <n v="22222222.219999999"/>
    <n v="12477903.890000001"/>
    <n v="1497348.47"/>
    <n v="36197474.579999998"/>
    <d v="2026-02-19T00:00:00"/>
    <x v="4"/>
    <x v="0"/>
    <x v="0"/>
  </r>
  <r>
    <x v="37"/>
    <n v="3"/>
    <n v="22222222.219999999"/>
    <n v="10607402.17"/>
    <n v="1272888.26"/>
    <n v="34102512.649999999"/>
    <d v="2026-03-19T00:00:00"/>
    <x v="4"/>
    <x v="0"/>
    <x v="0"/>
  </r>
  <r>
    <x v="37"/>
    <n v="4"/>
    <n v="22222222.219999999"/>
    <n v="11365073.77"/>
    <n v="1363808.86"/>
    <n v="34951104.850000001"/>
    <d v="2026-04-20T00:00:00"/>
    <x v="4"/>
    <x v="0"/>
    <x v="0"/>
  </r>
  <r>
    <x v="37"/>
    <n v="5"/>
    <n v="22222222.219999999"/>
    <n v="9612958.2300000004"/>
    <n v="1153554.98"/>
    <n v="32988735.43"/>
    <d v="2026-05-19T00:00:00"/>
    <x v="4"/>
    <x v="1"/>
    <x v="0"/>
  </r>
  <r>
    <x v="37"/>
    <n v="6"/>
    <n v="22222222.219999999"/>
    <n v="9541926.5099999998"/>
    <n v="1145031.18"/>
    <n v="32909179.91"/>
    <d v="2026-06-19T00:00:00"/>
    <x v="4"/>
    <x v="1"/>
    <x v="0"/>
  </r>
  <r>
    <x v="37"/>
    <n v="7"/>
    <n v="22222222.219999999"/>
    <n v="8807932.1600000001"/>
    <n v="1056951.8600000001"/>
    <n v="32087106.239999998"/>
    <d v="2026-07-20T00:00:00"/>
    <x v="4"/>
    <x v="1"/>
    <x v="0"/>
  </r>
  <r>
    <x v="37"/>
    <n v="8"/>
    <n v="22222222.219999999"/>
    <n v="7813488.2199999997"/>
    <n v="937618.58"/>
    <n v="30973329.02"/>
    <d v="2026-08-19T00:00:00"/>
    <x v="4"/>
    <x v="1"/>
    <x v="0"/>
  </r>
  <r>
    <x v="37"/>
    <n v="9"/>
    <n v="22222222.219999999"/>
    <n v="7813488.2199999997"/>
    <n v="937618.58"/>
    <n v="30973329.02"/>
    <d v="2026-09-21T00:00:00"/>
    <x v="4"/>
    <x v="1"/>
    <x v="0"/>
  </r>
  <r>
    <x v="37"/>
    <n v="10"/>
    <n v="22222222.219999999"/>
    <n v="5966663.7199999997"/>
    <n v="715999.65"/>
    <n v="28904885.59"/>
    <d v="2026-10-19T00:00:00"/>
    <x v="4"/>
    <x v="1"/>
    <x v="0"/>
  </r>
  <r>
    <x v="37"/>
    <n v="11"/>
    <n v="22222222.219999999"/>
    <n v="5871954.7699999996"/>
    <n v="704634.57"/>
    <n v="28798811.559999999"/>
    <d v="2026-11-19T00:00:00"/>
    <x v="4"/>
    <x v="1"/>
    <x v="0"/>
  </r>
  <r>
    <x v="37"/>
    <n v="12"/>
    <n v="22222222.219999999"/>
    <n v="5303701.09"/>
    <n v="636444.13"/>
    <n v="28162367.440000001"/>
    <d v="2026-12-21T00:00:00"/>
    <x v="4"/>
    <x v="1"/>
    <x v="0"/>
  </r>
  <r>
    <x v="37"/>
    <n v="13"/>
    <n v="22222222.219999999"/>
    <n v="4119839.24"/>
    <n v="494380.71"/>
    <n v="26836442.170000002"/>
    <d v="2027-01-19T00:00:00"/>
    <x v="4"/>
    <x v="1"/>
    <x v="0"/>
  </r>
  <r>
    <x v="37"/>
    <n v="14"/>
    <n v="22222222.219999999"/>
    <n v="3669971.73"/>
    <n v="440396.61"/>
    <n v="26332590.559999999"/>
    <d v="2027-02-19T00:00:00"/>
    <x v="4"/>
    <x v="1"/>
    <x v="0"/>
  </r>
  <r>
    <x v="37"/>
    <n v="15"/>
    <n v="22222222.219999999"/>
    <n v="2651850.54"/>
    <n v="318222.07"/>
    <n v="25192294.829999998"/>
    <d v="2027-03-19T00:00:00"/>
    <x v="4"/>
    <x v="1"/>
    <x v="0"/>
  </r>
  <r>
    <x v="37"/>
    <n v="16"/>
    <n v="22222222.219999999"/>
    <n v="2201983.04"/>
    <n v="264237.96999999997"/>
    <n v="24688443.23"/>
    <d v="2027-04-19T00:00:00"/>
    <x v="4"/>
    <x v="1"/>
    <x v="0"/>
  </r>
  <r>
    <x v="37"/>
    <n v="17"/>
    <n v="22222222.219999999"/>
    <n v="1420634.22"/>
    <n v="170476.1"/>
    <n v="23813332.539999999"/>
    <d v="2027-05-19T00:00:00"/>
    <x v="4"/>
    <x v="1"/>
    <x v="0"/>
  </r>
  <r>
    <x v="37"/>
    <n v="18"/>
    <n v="22222222.260000002"/>
    <n v="781348.82"/>
    <n v="93761.86"/>
    <n v="23097332.940000001"/>
    <d v="2027-06-21T00:00:00"/>
    <x v="4"/>
    <x v="1"/>
    <x v="0"/>
  </r>
  <r>
    <x v="38"/>
    <n v="1"/>
    <n v="27777777.780000001"/>
    <n v="17773827.5"/>
    <n v="2132859.2999999998"/>
    <n v="47684464.579999998"/>
    <d v="2026-01-19T00:00:00"/>
    <x v="4"/>
    <x v="0"/>
    <x v="0"/>
  </r>
  <r>
    <x v="38"/>
    <n v="2"/>
    <n v="27777777.780000001"/>
    <n v="15769035.48"/>
    <n v="1892284.26"/>
    <n v="45439097.520000003"/>
    <d v="2026-02-19T00:00:00"/>
    <x v="4"/>
    <x v="0"/>
    <x v="0"/>
  </r>
  <r>
    <x v="38"/>
    <n v="3"/>
    <n v="27777777.780000001"/>
    <n v="13405176.27"/>
    <n v="1608621.15"/>
    <n v="42791575.200000003"/>
    <d v="2026-03-19T00:00:00"/>
    <x v="4"/>
    <x v="0"/>
    <x v="0"/>
  </r>
  <r>
    <x v="38"/>
    <n v="4"/>
    <n v="27777777.780000001"/>
    <n v="14362688.869999999"/>
    <n v="1723522.66"/>
    <n v="43863989.310000002"/>
    <d v="2026-04-20T00:00:00"/>
    <x v="4"/>
    <x v="0"/>
    <x v="0"/>
  </r>
  <r>
    <x v="38"/>
    <n v="5"/>
    <n v="27777777.780000001"/>
    <n v="12148441.01"/>
    <n v="1457812.93"/>
    <n v="41384031.719999999"/>
    <d v="2026-05-19T00:00:00"/>
    <x v="4"/>
    <x v="1"/>
    <x v="0"/>
  </r>
  <r>
    <x v="38"/>
    <n v="6"/>
    <n v="27777777.780000001"/>
    <n v="12058674.189999999"/>
    <n v="1447040.9"/>
    <n v="41283492.869999997"/>
    <d v="2026-06-19T00:00:00"/>
    <x v="4"/>
    <x v="1"/>
    <x v="0"/>
  </r>
  <r>
    <x v="38"/>
    <n v="7"/>
    <n v="27777777.780000001"/>
    <n v="11131083.869999999"/>
    <n v="1335730.07"/>
    <n v="40244591.719999999"/>
    <d v="2026-07-20T00:00:00"/>
    <x v="4"/>
    <x v="1"/>
    <x v="0"/>
  </r>
  <r>
    <x v="38"/>
    <n v="8"/>
    <n v="27777777.780000001"/>
    <n v="9874348.6099999994"/>
    <n v="1184921.83"/>
    <n v="38837048.219999999"/>
    <d v="2026-08-19T00:00:00"/>
    <x v="4"/>
    <x v="1"/>
    <x v="0"/>
  </r>
  <r>
    <x v="38"/>
    <n v="9"/>
    <n v="27777777.780000001"/>
    <n v="9874348.6099999994"/>
    <n v="1184921.83"/>
    <n v="38837048.219999999"/>
    <d v="2026-09-21T00:00:00"/>
    <x v="4"/>
    <x v="1"/>
    <x v="0"/>
  </r>
  <r>
    <x v="38"/>
    <n v="10"/>
    <n v="27777777.780000001"/>
    <n v="7540411.6500000004"/>
    <n v="904849.39"/>
    <n v="36223038.82"/>
    <d v="2026-10-19T00:00:00"/>
    <x v="4"/>
    <x v="1"/>
    <x v="0"/>
  </r>
  <r>
    <x v="38"/>
    <n v="11"/>
    <n v="27777777.780000001"/>
    <n v="7420722.5800000001"/>
    <n v="890486.71"/>
    <n v="36088987.07"/>
    <d v="2026-11-19T00:00:00"/>
    <x v="4"/>
    <x v="1"/>
    <x v="0"/>
  </r>
  <r>
    <x v="38"/>
    <n v="12"/>
    <n v="27777777.780000001"/>
    <n v="6702588.1399999997"/>
    <n v="804310.57"/>
    <n v="35284676.490000002"/>
    <d v="2026-12-21T00:00:00"/>
    <x v="4"/>
    <x v="1"/>
    <x v="0"/>
  </r>
  <r>
    <x v="38"/>
    <n v="13"/>
    <n v="27777777.780000001"/>
    <n v="5206474.72"/>
    <n v="624776.97"/>
    <n v="33609029.469999999"/>
    <d v="2027-01-19T00:00:00"/>
    <x v="4"/>
    <x v="1"/>
    <x v="0"/>
  </r>
  <r>
    <x v="38"/>
    <n v="14"/>
    <n v="27777777.780000001"/>
    <n v="4637951.6100000003"/>
    <n v="556554.18999999994"/>
    <n v="32972283.579999998"/>
    <d v="2027-02-19T00:00:00"/>
    <x v="4"/>
    <x v="1"/>
    <x v="0"/>
  </r>
  <r>
    <x v="38"/>
    <n v="15"/>
    <n v="27777777.780000001"/>
    <n v="3351294.07"/>
    <n v="402155.29"/>
    <n v="31531227.140000001"/>
    <d v="2027-03-19T00:00:00"/>
    <x v="4"/>
    <x v="1"/>
    <x v="0"/>
  </r>
  <r>
    <x v="38"/>
    <n v="16"/>
    <n v="27777777.780000001"/>
    <n v="2782770.97"/>
    <n v="333932.51"/>
    <n v="30894481.260000002"/>
    <d v="2027-04-19T00:00:00"/>
    <x v="4"/>
    <x v="1"/>
    <x v="0"/>
  </r>
  <r>
    <x v="38"/>
    <n v="17"/>
    <n v="27777777.780000001"/>
    <n v="1795336.11"/>
    <n v="215440.33"/>
    <n v="29788554.219999999"/>
    <d v="2027-05-19T00:00:00"/>
    <x v="4"/>
    <x v="1"/>
    <x v="0"/>
  </r>
  <r>
    <x v="38"/>
    <n v="18"/>
    <n v="27777777.739999998"/>
    <n v="987434.86"/>
    <n v="118492.18"/>
    <n v="28883704.780000001"/>
    <d v="2027-06-21T00:00:00"/>
    <x v="4"/>
    <x v="1"/>
    <x v="0"/>
  </r>
  <r>
    <x v="39"/>
    <n v="1"/>
    <n v="966274.14853904489"/>
    <n v="7273333.333333333"/>
    <n v="872800"/>
    <n v="9112407.4818723779"/>
    <d v="2026-01-16T00:00:00"/>
    <x v="5"/>
    <x v="0"/>
    <x v="0"/>
  </r>
  <r>
    <x v="39"/>
    <n v="2"/>
    <n v="1001414.3184075812"/>
    <n v="7238193.1634647967"/>
    <n v="868583.17961577559"/>
    <n v="9108190.661488153"/>
    <d v="2026-02-16T00:00:00"/>
    <x v="5"/>
    <x v="0"/>
    <x v="0"/>
  </r>
  <r>
    <x v="39"/>
    <n v="3"/>
    <n v="1037832.4191203369"/>
    <n v="7201775.062752041"/>
    <n v="864213.00753024488"/>
    <n v="9103820.489402622"/>
    <d v="2026-03-16T00:00:00"/>
    <x v="5"/>
    <x v="0"/>
    <x v="0"/>
  </r>
  <r>
    <x v="39"/>
    <n v="4"/>
    <n v="1075574.9247623468"/>
    <n v="7164032.5571100311"/>
    <n v="859683.90685320378"/>
    <n v="9099291.3887255825"/>
    <d v="2026-04-16T00:00:00"/>
    <x v="5"/>
    <x v="0"/>
    <x v="0"/>
  </r>
  <r>
    <x v="39"/>
    <n v="5"/>
    <n v="1114689.9995262036"/>
    <n v="7124917.4823461743"/>
    <n v="854990.09788154089"/>
    <n v="9094597.5797539186"/>
    <d v="2026-05-16T00:00:00"/>
    <x v="5"/>
    <x v="1"/>
    <x v="0"/>
  </r>
  <r>
    <x v="39"/>
    <n v="6"/>
    <n v="1155227.5591756403"/>
    <n v="7084379.9226967376"/>
    <n v="850125.5907236085"/>
    <n v="9089733.0725959856"/>
    <d v="2026-06-16T00:00:00"/>
    <x v="5"/>
    <x v="1"/>
    <x v="0"/>
  </r>
  <r>
    <x v="39"/>
    <n v="7"/>
    <n v="1197239.3347443277"/>
    <n v="7042368.1471280502"/>
    <n v="845084.17765536602"/>
    <n v="9084691.6595277432"/>
    <d v="2026-07-16T00:00:00"/>
    <x v="5"/>
    <x v="1"/>
    <x v="0"/>
  </r>
  <r>
    <x v="39"/>
    <n v="8"/>
    <n v="1240778.9385511968"/>
    <n v="6998828.5433211811"/>
    <n v="839859.42519854172"/>
    <n v="9079466.9070709199"/>
    <d v="2026-08-16T00:00:00"/>
    <x v="5"/>
    <x v="1"/>
    <x v="0"/>
  </r>
  <r>
    <x v="39"/>
    <n v="9"/>
    <n v="1285901.9326165076"/>
    <n v="6953705.5492558703"/>
    <n v="834444.66591070441"/>
    <n v="9074052.147783082"/>
    <d v="2026-09-16T00:00:00"/>
    <x v="5"/>
    <x v="1"/>
    <x v="0"/>
  </r>
  <r>
    <x v="39"/>
    <n v="10"/>
    <n v="1332665.8995659947"/>
    <n v="6906941.5823063832"/>
    <n v="828832.98987676599"/>
    <n v="9068440.4717491437"/>
    <d v="2026-10-16T00:00:00"/>
    <x v="5"/>
    <x v="1"/>
    <x v="0"/>
  </r>
  <r>
    <x v="39"/>
    <n v="11"/>
    <n v="1381130.5161135448"/>
    <n v="6858476.9657588331"/>
    <n v="823017.23589105997"/>
    <n v="9062624.7177634388"/>
    <d v="2026-11-16T00:00:00"/>
    <x v="5"/>
    <x v="1"/>
    <x v="0"/>
  </r>
  <r>
    <x v="39"/>
    <n v="12"/>
    <n v="1431357.6292162072"/>
    <n v="6808249.8526561707"/>
    <n v="816989.98231874045"/>
    <n v="9056597.4641911183"/>
    <d v="2026-12-16T00:00:00"/>
    <x v="5"/>
    <x v="1"/>
    <x v="0"/>
  </r>
  <r>
    <x v="39"/>
    <n v="13"/>
    <n v="1483411.3349987036"/>
    <n v="6756196.1468736744"/>
    <n v="810743.53762484097"/>
    <n v="9050351.0194972195"/>
    <d v="2027-01-16T00:00:00"/>
    <x v="5"/>
    <x v="1"/>
    <x v="0"/>
  </r>
  <r>
    <x v="39"/>
    <n v="14"/>
    <n v="1537358.0605481556"/>
    <n v="6702249.4213242223"/>
    <n v="804269.93055890664"/>
    <n v="9043877.4124312848"/>
    <d v="2027-02-16T00:00:00"/>
    <x v="5"/>
    <x v="1"/>
    <x v="0"/>
  </r>
  <r>
    <x v="39"/>
    <n v="15"/>
    <n v="1593266.6486834241"/>
    <n v="6646340.8331889538"/>
    <n v="797560.89998267451"/>
    <n v="9037168.381855052"/>
    <d v="2027-03-16T00:00:00"/>
    <x v="5"/>
    <x v="1"/>
    <x v="0"/>
  </r>
  <r>
    <x v="39"/>
    <n v="16"/>
    <n v="1651208.4458072111"/>
    <n v="6588399.0360651668"/>
    <n v="790607.88432782004"/>
    <n v="9030215.3662001975"/>
    <d v="2027-04-16T00:00:00"/>
    <x v="5"/>
    <x v="1"/>
    <x v="0"/>
  </r>
  <r>
    <x v="39"/>
    <n v="17"/>
    <n v="1711257.3929530671"/>
    <n v="6528350.0889193108"/>
    <n v="783402.01067031734"/>
    <n v="9023009.4925426953"/>
    <d v="2027-05-16T00:00:00"/>
    <x v="5"/>
    <x v="1"/>
    <x v="0"/>
  </r>
  <r>
    <x v="39"/>
    <n v="18"/>
    <n v="1773490.1201434601"/>
    <n v="6466117.3617289178"/>
    <n v="775934.08340747014"/>
    <n v="9015541.5652798489"/>
    <d v="2027-06-16T00:00:00"/>
    <x v="5"/>
    <x v="1"/>
    <x v="0"/>
  </r>
  <r>
    <x v="39"/>
    <n v="19"/>
    <n v="1837986.0441793445"/>
    <n v="6401621.4376930334"/>
    <n v="768194.57252316398"/>
    <n v="9007802.0543955415"/>
    <d v="2027-07-16T00:00:00"/>
    <x v="5"/>
    <x v="1"/>
    <x v="0"/>
  </r>
  <r>
    <x v="39"/>
    <n v="20"/>
    <n v="1904827.4699860001"/>
    <n v="6334780.0118863778"/>
    <n v="760173.60142636532"/>
    <n v="8999781.0832987428"/>
    <d v="2027-08-16T00:00:00"/>
    <x v="5"/>
    <x v="1"/>
    <x v="0"/>
  </r>
  <r>
    <x v="39"/>
    <n v="21"/>
    <n v="1974099.6956444904"/>
    <n v="6265507.7862278875"/>
    <n v="751860.93434734654"/>
    <n v="8991468.4162197243"/>
    <d v="2027-09-16T00:00:00"/>
    <x v="5"/>
    <x v="1"/>
    <x v="0"/>
  </r>
  <r>
    <x v="39"/>
    <n v="22"/>
    <n v="2045891.1212427625"/>
    <n v="6193716.3606296154"/>
    <n v="743245.96327555389"/>
    <n v="8982853.4451479316"/>
    <d v="2027-10-16T00:00:00"/>
    <x v="5"/>
    <x v="1"/>
    <x v="0"/>
  </r>
  <r>
    <x v="39"/>
    <n v="23"/>
    <n v="2120293.3616852909"/>
    <n v="6119314.120187087"/>
    <n v="734317.69442245038"/>
    <n v="8973925.1762948278"/>
    <d v="2027-11-16T00:00:00"/>
    <x v="5"/>
    <x v="1"/>
    <x v="0"/>
  </r>
  <r>
    <x v="39"/>
    <n v="24"/>
    <n v="2197401.3636052459"/>
    <n v="6042206.118267132"/>
    <n v="725064.73419205588"/>
    <n v="8964672.2160644345"/>
    <d v="2027-12-16T00:00:00"/>
    <x v="5"/>
    <x v="1"/>
    <x v="0"/>
  </r>
  <r>
    <x v="39"/>
    <n v="25"/>
    <n v="2277313.5265283575"/>
    <n v="5962293.9553440204"/>
    <n v="715475.27464128239"/>
    <n v="8955082.7565136608"/>
    <d v="2028-01-16T00:00:00"/>
    <x v="5"/>
    <x v="1"/>
    <x v="0"/>
  </r>
  <r>
    <x v="39"/>
    <n v="26"/>
    <n v="2360131.8284431053"/>
    <n v="5879475.6534292726"/>
    <n v="705537.07841151266"/>
    <n v="8945144.56028389"/>
    <d v="2028-02-16T00:00:00"/>
    <x v="5"/>
    <x v="1"/>
    <x v="0"/>
  </r>
  <r>
    <x v="39"/>
    <n v="27"/>
    <n v="2445961.9559374871"/>
    <n v="5793645.5259348908"/>
    <n v="695237.46311218687"/>
    <n v="8934844.9449845646"/>
    <d v="2028-03-16T00:00:00"/>
    <x v="5"/>
    <x v="1"/>
    <x v="0"/>
  </r>
  <r>
    <x v="39"/>
    <n v="28"/>
    <n v="2534913.4390684133"/>
    <n v="5704694.0428039646"/>
    <n v="684563.28513647569"/>
    <n v="8924170.7670088541"/>
    <d v="2028-04-16T00:00:00"/>
    <x v="5"/>
    <x v="1"/>
    <x v="0"/>
  </r>
  <r>
    <x v="39"/>
    <n v="29"/>
    <n v="2627099.7911358671"/>
    <n v="5612507.6907365108"/>
    <n v="673500.92288838129"/>
    <n v="8913108.4047607593"/>
    <d v="2028-05-16T00:00:00"/>
    <x v="5"/>
    <x v="1"/>
    <x v="0"/>
  </r>
  <r>
    <x v="39"/>
    <n v="30"/>
    <n v="2722638.6535401754"/>
    <n v="5516968.8283322025"/>
    <n v="662036.25939986436"/>
    <n v="8901643.7412722427"/>
    <d v="2028-06-16T00:00:00"/>
    <x v="5"/>
    <x v="1"/>
    <x v="0"/>
  </r>
  <r>
    <x v="39"/>
    <n v="31"/>
    <n v="2821651.9459072528"/>
    <n v="5417955.5359651251"/>
    <n v="650154.66431581497"/>
    <n v="8889762.1461881921"/>
    <d v="2028-07-16T00:00:00"/>
    <x v="5"/>
    <x v="1"/>
    <x v="0"/>
  </r>
  <r>
    <x v="39"/>
    <n v="32"/>
    <n v="2924266.0216734139"/>
    <n v="5315341.460198964"/>
    <n v="637840.97522387572"/>
    <n v="8877448.4570962545"/>
    <d v="2028-08-16T00:00:00"/>
    <x v="5"/>
    <x v="1"/>
    <x v="0"/>
  </r>
  <r>
    <x v="39"/>
    <n v="33"/>
    <n v="3030611.8293282697"/>
    <n v="5208995.6525441082"/>
    <n v="625079.47830529301"/>
    <n v="8864686.9601776712"/>
    <d v="2028-09-16T00:00:00"/>
    <x v="5"/>
    <x v="1"/>
    <x v="0"/>
  </r>
  <r>
    <x v="39"/>
    <n v="34"/>
    <n v="3140825.079521508"/>
    <n v="5098782.40235087"/>
    <n v="611853.8882821044"/>
    <n v="8851461.3701544814"/>
    <d v="2028-10-16T00:00:00"/>
    <x v="5"/>
    <x v="1"/>
    <x v="0"/>
  </r>
  <r>
    <x v="39"/>
    <n v="35"/>
    <n v="3255046.4182467731"/>
    <n v="4984561.0636256048"/>
    <n v="598147.32763507264"/>
    <n v="8837754.8095074501"/>
    <d v="2028-11-16T00:00:00"/>
    <x v="5"/>
    <x v="1"/>
    <x v="0"/>
  </r>
  <r>
    <x v="39"/>
    <n v="36"/>
    <n v="3373421.6063236808"/>
    <n v="4866185.8755486971"/>
    <n v="583942.30506584363"/>
    <n v="8823549.7869382221"/>
    <d v="2028-12-16T00:00:00"/>
    <x v="5"/>
    <x v="1"/>
    <x v="0"/>
  </r>
  <r>
    <x v="39"/>
    <n v="37"/>
    <n v="3496101.7054069852"/>
    <n v="4743505.7764653927"/>
    <n v="569220.69317584718"/>
    <n v="8808828.1750482246"/>
    <d v="2029-01-16T00:00:00"/>
    <x v="5"/>
    <x v="1"/>
    <x v="0"/>
  </r>
  <r>
    <x v="39"/>
    <n v="38"/>
    <n v="3623243.2707602857"/>
    <n v="4616364.2111120922"/>
    <n v="553963.70533345104"/>
    <n v="8793571.1872058287"/>
    <d v="2029-02-16T00:00:00"/>
    <x v="5"/>
    <x v="1"/>
    <x v="0"/>
  </r>
  <r>
    <x v="39"/>
    <n v="39"/>
    <n v="3755008.5510402685"/>
    <n v="4484598.9308321094"/>
    <n v="538151.8716998531"/>
    <n v="8777759.3535722308"/>
    <d v="2029-03-16T00:00:00"/>
    <x v="5"/>
    <x v="1"/>
    <x v="0"/>
  </r>
  <r>
    <x v="39"/>
    <n v="40"/>
    <n v="3891565.6953464327"/>
    <n v="4348041.7865259452"/>
    <n v="521765.01438311342"/>
    <n v="8761372.4962554909"/>
    <d v="2029-04-16T00:00:00"/>
    <x v="5"/>
    <x v="1"/>
    <x v="0"/>
  </r>
  <r>
    <x v="39"/>
    <n v="41"/>
    <n v="4033088.9678005306"/>
    <n v="4206518.5140718473"/>
    <n v="504782.22168862168"/>
    <n v="8744389.7035610005"/>
    <d v="2029-05-16T00:00:00"/>
    <x v="5"/>
    <x v="1"/>
    <x v="0"/>
  </r>
  <r>
    <x v="39"/>
    <n v="42"/>
    <n v="4179758.9699295433"/>
    <n v="4059848.5119428346"/>
    <n v="487181.82143314014"/>
    <n v="8726789.3033055179"/>
    <d v="2029-06-16T00:00:00"/>
    <x v="5"/>
    <x v="1"/>
    <x v="0"/>
  </r>
  <r>
    <x v="39"/>
    <n v="43"/>
    <n v="4331762.8711359818"/>
    <n v="3907844.6107363966"/>
    <n v="468941.35328836762"/>
    <n v="8708548.8351607453"/>
    <d v="2029-07-16T00:00:00"/>
    <x v="5"/>
    <x v="1"/>
    <x v="0"/>
  </r>
  <r>
    <x v="39"/>
    <n v="44"/>
    <n v="4489294.6475496264"/>
    <n v="3750312.8343227515"/>
    <n v="450037.54011873016"/>
    <n v="8689645.0219911076"/>
    <d v="2029-08-16T00:00:00"/>
    <x v="5"/>
    <x v="1"/>
    <x v="0"/>
  </r>
  <r>
    <x v="39"/>
    <n v="45"/>
    <n v="4652555.3295655148"/>
    <n v="3587052.1523068631"/>
    <n v="430446.25827682356"/>
    <n v="8670053.7401492018"/>
    <d v="2029-09-16T00:00:00"/>
    <x v="5"/>
    <x v="1"/>
    <x v="0"/>
  </r>
  <r>
    <x v="39"/>
    <n v="46"/>
    <n v="4821753.2583840471"/>
    <n v="3417854.2234883308"/>
    <n v="410142.50681859971"/>
    <n v="8649749.9886909779"/>
    <d v="2029-10-16T00:00:00"/>
    <x v="5"/>
    <x v="1"/>
    <x v="0"/>
  </r>
  <r>
    <x v="39"/>
    <n v="47"/>
    <n v="4997104.3518806137"/>
    <n v="3242503.1299917642"/>
    <n v="389100.37559901172"/>
    <n v="8628707.8574713897"/>
    <d v="2029-11-16T00:00:00"/>
    <x v="5"/>
    <x v="1"/>
    <x v="0"/>
  </r>
  <r>
    <x v="39"/>
    <n v="48"/>
    <n v="5178832.3801440056"/>
    <n v="3060775.1017283727"/>
    <n v="367293.01220740471"/>
    <n v="8606900.4940797836"/>
    <d v="2029-12-16T00:00:00"/>
    <x v="5"/>
    <x v="1"/>
    <x v="0"/>
  </r>
  <r>
    <x v="39"/>
    <n v="49"/>
    <n v="5367169.2510352414"/>
    <n v="2872438.230837136"/>
    <n v="344692.58770045632"/>
    <n v="8584300.0695728343"/>
    <d v="2030-01-16T00:00:00"/>
    <x v="5"/>
    <x v="1"/>
    <x v="0"/>
  </r>
  <r>
    <x v="39"/>
    <n v="50"/>
    <n v="5562355.3061312232"/>
    <n v="2677252.1757411542"/>
    <n v="321270.26108893851"/>
    <n v="8560877.7429613154"/>
    <d v="2030-02-16T00:00:00"/>
    <x v="5"/>
    <x v="1"/>
    <x v="0"/>
  </r>
  <r>
    <x v="39"/>
    <n v="51"/>
    <n v="5764639.6274308627"/>
    <n v="2474967.8544415152"/>
    <n v="296996.14253298182"/>
    <n v="8536603.6244053598"/>
    <d v="2030-03-16T00:00:00"/>
    <x v="5"/>
    <x v="1"/>
    <x v="0"/>
  </r>
  <r>
    <x v="39"/>
    <n v="52"/>
    <n v="5974280.3552150987"/>
    <n v="2265327.1266572797"/>
    <n v="271839.25519887358"/>
    <n v="8511446.7370712515"/>
    <d v="2030-04-16T00:00:00"/>
    <x v="5"/>
    <x v="1"/>
    <x v="0"/>
  </r>
  <r>
    <x v="39"/>
    <n v="53"/>
    <n v="6191545.0174664203"/>
    <n v="2048062.4644059574"/>
    <n v="245767.49572871489"/>
    <n v="8485374.9776010923"/>
    <d v="2030-05-16T00:00:00"/>
    <x v="5"/>
    <x v="1"/>
    <x v="0"/>
  </r>
  <r>
    <x v="39"/>
    <n v="54"/>
    <n v="6416710.8712682826"/>
    <n v="1822896.6106040953"/>
    <n v="218747.59327249145"/>
    <n v="8458355.0751448702"/>
    <d v="2030-06-16T00:00:00"/>
    <x v="5"/>
    <x v="1"/>
    <x v="0"/>
  </r>
  <r>
    <x v="39"/>
    <n v="55"/>
    <n v="6650065.2566200728"/>
    <n v="1589542.2252523054"/>
    <n v="190745.06703027664"/>
    <n v="8430352.548902655"/>
    <d v="2030-07-16T00:00:00"/>
    <x v="5"/>
    <x v="1"/>
    <x v="0"/>
  </r>
  <r>
    <x v="39"/>
    <n v="56"/>
    <n v="6891905.9631191557"/>
    <n v="1347701.5187532222"/>
    <n v="161724.18225038666"/>
    <n v="8401331.664122764"/>
    <d v="2030-08-16T00:00:00"/>
    <x v="5"/>
    <x v="1"/>
    <x v="0"/>
  </r>
  <r>
    <x v="39"/>
    <n v="57"/>
    <n v="7142541.6099779224"/>
    <n v="1097065.8718944555"/>
    <n v="131647.90462733468"/>
    <n v="8371255.3864997122"/>
    <d v="2030-09-16T00:00:00"/>
    <x v="5"/>
    <x v="1"/>
    <x v="0"/>
  </r>
  <r>
    <x v="39"/>
    <n v="58"/>
    <n v="7402292.0398607859"/>
    <n v="837315.44201159163"/>
    <n v="100477.85304139099"/>
    <n v="8340085.3349137688"/>
    <d v="2030-10-16T00:00:00"/>
    <x v="5"/>
    <x v="1"/>
    <x v="0"/>
  </r>
  <r>
    <x v="39"/>
    <n v="59"/>
    <n v="7671488.7270437237"/>
    <n v="568118.75482865446"/>
    <n v="68174.250579438536"/>
    <n v="8307781.732451817"/>
    <d v="2030-11-16T00:00:00"/>
    <x v="5"/>
    <x v="1"/>
    <x v="0"/>
  </r>
  <r>
    <x v="39"/>
    <n v="60"/>
    <n v="7950475.2004172131"/>
    <n v="289132.28145516431"/>
    <n v="34695.873774619715"/>
    <n v="8274303.3556469968"/>
    <d v="2030-12-16T00:00:00"/>
    <x v="5"/>
    <x v="1"/>
    <x v="0"/>
  </r>
  <r>
    <x v="40"/>
    <n v="1"/>
    <n v="21875000"/>
    <n v="10868595.5"/>
    <n v="1304231.46"/>
    <n v="34047826.960000001"/>
    <d v="2026-05-07T00:00:00"/>
    <x v="4"/>
    <x v="1"/>
    <x v="0"/>
  </r>
  <r>
    <x v="40"/>
    <n v="2"/>
    <n v="21875000"/>
    <n v="10868595.48"/>
    <n v="1304231.46"/>
    <n v="34047826.939999998"/>
    <d v="2026-06-08T00:00:00"/>
    <x v="4"/>
    <x v="1"/>
    <x v="0"/>
  </r>
  <r>
    <x v="40"/>
    <n v="3"/>
    <n v="21875000"/>
    <n v="9193020.3399999999"/>
    <n v="1103162.45"/>
    <n v="32171182.789999999"/>
    <d v="2026-07-07T00:00:00"/>
    <x v="4"/>
    <x v="1"/>
    <x v="0"/>
  </r>
  <r>
    <x v="40"/>
    <n v="4"/>
    <n v="21875000"/>
    <n v="9125091.6300000008"/>
    <n v="1095010.99"/>
    <n v="32095102.620000001"/>
    <d v="2026-08-07T00:00:00"/>
    <x v="4"/>
    <x v="1"/>
    <x v="0"/>
  </r>
  <r>
    <x v="40"/>
    <n v="5"/>
    <n v="21875000"/>
    <n v="8423161.5"/>
    <n v="1010779.38"/>
    <n v="31308940.879999999"/>
    <d v="2026-09-07T00:00:00"/>
    <x v="4"/>
    <x v="1"/>
    <x v="0"/>
  </r>
  <r>
    <x v="40"/>
    <n v="6"/>
    <n v="21875000"/>
    <n v="7721231.3799999999"/>
    <n v="926547.76"/>
    <n v="30522779.140000001"/>
    <d v="2026-10-08T00:00:00"/>
    <x v="4"/>
    <x v="1"/>
    <x v="0"/>
  </r>
  <r>
    <x v="40"/>
    <n v="7"/>
    <n v="21875000"/>
    <n v="7245730.3200000003"/>
    <n v="869487.63"/>
    <n v="29990217.949999999"/>
    <d v="2026-11-09T00:00:00"/>
    <x v="4"/>
    <x v="1"/>
    <x v="0"/>
  </r>
  <r>
    <x v="40"/>
    <n v="8"/>
    <n v="21875000"/>
    <n v="6113584.9699999997"/>
    <n v="733630.19"/>
    <n v="28722215.16"/>
    <d v="2026-12-09T00:00:00"/>
    <x v="4"/>
    <x v="1"/>
    <x v="0"/>
  </r>
  <r>
    <x v="40"/>
    <n v="9"/>
    <n v="21875000"/>
    <n v="5253154.4800000004"/>
    <n v="630378.54"/>
    <n v="27758533.02"/>
    <d v="2027-01-07T00:00:00"/>
    <x v="4"/>
    <x v="1"/>
    <x v="0"/>
  </r>
  <r>
    <x v="40"/>
    <n v="10"/>
    <n v="21875000"/>
    <n v="5072011.22"/>
    <n v="608641.35"/>
    <n v="27555652.57"/>
    <d v="2027-02-08T00:00:00"/>
    <x v="4"/>
    <x v="1"/>
    <x v="0"/>
  </r>
  <r>
    <x v="40"/>
    <n v="11"/>
    <n v="21875000"/>
    <n v="3804008.42"/>
    <n v="456481.01"/>
    <n v="26135489.43"/>
    <d v="2027-03-08T00:00:00"/>
    <x v="4"/>
    <x v="1"/>
    <x v="0"/>
  </r>
  <r>
    <x v="40"/>
    <n v="12"/>
    <n v="21875000"/>
    <n v="3396436.09"/>
    <n v="407572.33"/>
    <n v="25679008.420000002"/>
    <d v="2027-04-07T00:00:00"/>
    <x v="4"/>
    <x v="1"/>
    <x v="0"/>
  </r>
  <r>
    <x v="40"/>
    <n v="13"/>
    <n v="21875000"/>
    <n v="2717148.88"/>
    <n v="326057.86"/>
    <n v="24918206.739999998"/>
    <d v="2027-05-07T00:00:00"/>
    <x v="4"/>
    <x v="1"/>
    <x v="0"/>
  </r>
  <r>
    <x v="40"/>
    <n v="14"/>
    <n v="21875000"/>
    <n v="2105790.38"/>
    <n v="252694.85"/>
    <n v="24233485.23"/>
    <d v="2027-06-07T00:00:00"/>
    <x v="4"/>
    <x v="1"/>
    <x v="0"/>
  </r>
  <r>
    <x v="40"/>
    <n v="15"/>
    <n v="21875000"/>
    <n v="1358574.44"/>
    <n v="163028.94"/>
    <n v="23396603.379999999"/>
    <d v="2027-07-07T00:00:00"/>
    <x v="4"/>
    <x v="1"/>
    <x v="0"/>
  </r>
  <r>
    <x v="40"/>
    <n v="16"/>
    <n v="21875000"/>
    <n v="747215.94"/>
    <n v="89665.91"/>
    <n v="22711881.850000001"/>
    <d v="2027-08-09T00:00:00"/>
    <x v="4"/>
    <x v="1"/>
    <x v="0"/>
  </r>
  <r>
    <x v="41"/>
    <n v="1"/>
    <n v="5779218.9400000004"/>
    <n v="6083333.3300000001"/>
    <n v="729999.98"/>
    <n v="12592552.25"/>
    <d v="2026-05-08T00:00:00"/>
    <x v="5"/>
    <x v="1"/>
    <x v="0"/>
  </r>
  <r>
    <x v="41"/>
    <n v="2"/>
    <n v="5955003.5099999998"/>
    <n v="5907548.7599999998"/>
    <n v="708905.84"/>
    <n v="12571458.109999999"/>
    <d v="2026-06-08T00:00:00"/>
    <x v="5"/>
    <x v="1"/>
    <x v="0"/>
  </r>
  <r>
    <x v="41"/>
    <n v="3"/>
    <n v="6136134.8700000001"/>
    <n v="5726417.4000000004"/>
    <n v="687170.08"/>
    <n v="12549722.35"/>
    <d v="2026-07-08T00:00:00"/>
    <x v="5"/>
    <x v="1"/>
    <x v="0"/>
  </r>
  <r>
    <x v="41"/>
    <n v="4"/>
    <n v="6322775.6399999997"/>
    <n v="5539776.6299999999"/>
    <n v="664773.18000000005"/>
    <n v="12527325.449999999"/>
    <d v="2026-08-08T00:00:00"/>
    <x v="5"/>
    <x v="1"/>
    <x v="0"/>
  </r>
  <r>
    <x v="41"/>
    <n v="5"/>
    <n v="6515093.4000000004"/>
    <n v="5347458.87"/>
    <n v="641695.06000000006"/>
    <n v="12504247.33"/>
    <d v="2026-09-08T00:00:00"/>
    <x v="5"/>
    <x v="1"/>
    <x v="0"/>
  </r>
  <r>
    <x v="41"/>
    <n v="6"/>
    <n v="6713260.8200000003"/>
    <n v="5149291.45"/>
    <n v="617914.97"/>
    <n v="12480467.24"/>
    <d v="2026-10-08T00:00:00"/>
    <x v="5"/>
    <x v="1"/>
    <x v="0"/>
  </r>
  <r>
    <x v="41"/>
    <n v="7"/>
    <n v="6917455.8399999999"/>
    <n v="4945096.43"/>
    <n v="593411.56000000006"/>
    <n v="12455963.83"/>
    <d v="2026-11-08T00:00:00"/>
    <x v="5"/>
    <x v="1"/>
    <x v="0"/>
  </r>
  <r>
    <x v="41"/>
    <n v="8"/>
    <n v="7127861.79"/>
    <n v="4734690.4800000004"/>
    <n v="568162.85"/>
    <n v="12430715.119999999"/>
    <d v="2026-12-08T00:00:00"/>
    <x v="5"/>
    <x v="1"/>
    <x v="0"/>
  </r>
  <r>
    <x v="41"/>
    <n v="9"/>
    <n v="7344667.5800000001"/>
    <n v="4517884.6900000004"/>
    <n v="542146.16"/>
    <n v="12404698.43"/>
    <d v="2027-01-08T00:00:00"/>
    <x v="5"/>
    <x v="1"/>
    <x v="0"/>
  </r>
  <r>
    <x v="41"/>
    <n v="10"/>
    <n v="7568067.8899999997"/>
    <n v="4294484.38"/>
    <n v="515338.11"/>
    <n v="12377890.380000001"/>
    <d v="2027-02-08T00:00:00"/>
    <x v="5"/>
    <x v="1"/>
    <x v="0"/>
  </r>
  <r>
    <x v="41"/>
    <n v="11"/>
    <n v="7798263.29"/>
    <n v="4064288.98"/>
    <n v="487714.67"/>
    <n v="12350266.939999999"/>
    <d v="2027-03-08T00:00:00"/>
    <x v="5"/>
    <x v="1"/>
    <x v="0"/>
  </r>
  <r>
    <x v="41"/>
    <n v="12"/>
    <n v="8035460.46"/>
    <n v="3827091.81"/>
    <n v="459251.01"/>
    <n v="12321803.279999999"/>
    <d v="2027-04-08T00:00:00"/>
    <x v="5"/>
    <x v="1"/>
    <x v="0"/>
  </r>
  <r>
    <x v="41"/>
    <n v="13"/>
    <n v="8279872.3799999999"/>
    <n v="3582679.89"/>
    <n v="429921.57"/>
    <n v="12292473.84"/>
    <d v="2027-05-08T00:00:00"/>
    <x v="5"/>
    <x v="1"/>
    <x v="0"/>
  </r>
  <r>
    <x v="41"/>
    <n v="14"/>
    <n v="8531718.5"/>
    <n v="3330833.77"/>
    <n v="399700.04"/>
    <n v="12262252.310000001"/>
    <d v="2027-06-08T00:00:00"/>
    <x v="5"/>
    <x v="1"/>
    <x v="0"/>
  </r>
  <r>
    <x v="41"/>
    <n v="15"/>
    <n v="8791224.9399999995"/>
    <n v="3071327.33"/>
    <n v="368559.26"/>
    <n v="12231111.529999999"/>
    <d v="2027-07-08T00:00:00"/>
    <x v="5"/>
    <x v="1"/>
    <x v="0"/>
  </r>
  <r>
    <x v="41"/>
    <n v="16"/>
    <n v="9058624.6999999993"/>
    <n v="2803927.57"/>
    <n v="336471.3"/>
    <n v="12199023.57"/>
    <d v="2027-08-08T00:00:00"/>
    <x v="5"/>
    <x v="1"/>
    <x v="0"/>
  </r>
  <r>
    <x v="41"/>
    <n v="17"/>
    <n v="9334157.8699999992"/>
    <n v="2528394.4"/>
    <n v="303407.32"/>
    <n v="12165959.59"/>
    <d v="2027-09-08T00:00:00"/>
    <x v="5"/>
    <x v="1"/>
    <x v="0"/>
  </r>
  <r>
    <x v="41"/>
    <n v="18"/>
    <n v="9618071.8399999999"/>
    <n v="2244480.4300000002"/>
    <n v="269337.64"/>
    <n v="12131889.91"/>
    <d v="2027-10-08T00:00:00"/>
    <x v="5"/>
    <x v="1"/>
    <x v="0"/>
  </r>
  <r>
    <x v="41"/>
    <n v="19"/>
    <n v="9910621.5199999996"/>
    <n v="1951930.75"/>
    <n v="234231.67999999999"/>
    <n v="12096783.949999999"/>
    <d v="2027-11-08T00:00:00"/>
    <x v="5"/>
    <x v="1"/>
    <x v="0"/>
  </r>
  <r>
    <x v="41"/>
    <n v="20"/>
    <n v="10212069.59"/>
    <n v="1650482.68"/>
    <n v="198057.92"/>
    <n v="12060610.189999999"/>
    <d v="2027-12-08T00:00:00"/>
    <x v="5"/>
    <x v="1"/>
    <x v="0"/>
  </r>
  <r>
    <x v="41"/>
    <n v="21"/>
    <n v="10522686.710000001"/>
    <n v="1339865.56"/>
    <n v="160783.85999999999"/>
    <n v="12023336.130000001"/>
    <d v="2028-01-08T00:00:00"/>
    <x v="5"/>
    <x v="1"/>
    <x v="0"/>
  </r>
  <r>
    <x v="41"/>
    <n v="22"/>
    <n v="10842751.76"/>
    <n v="1019800.51"/>
    <n v="122376.05"/>
    <n v="11984928.32"/>
    <d v="2028-02-08T00:00:00"/>
    <x v="5"/>
    <x v="1"/>
    <x v="0"/>
  </r>
  <r>
    <x v="41"/>
    <n v="23"/>
    <n v="11172552.130000001"/>
    <n v="690000.14"/>
    <n v="82800.009999999995"/>
    <n v="11945352.279999999"/>
    <d v="2028-03-08T00:00:00"/>
    <x v="5"/>
    <x v="1"/>
    <x v="0"/>
  </r>
  <r>
    <x v="41"/>
    <n v="24"/>
    <n v="11512384.029999999"/>
    <n v="350168.35"/>
    <n v="42020.19"/>
    <n v="11904572.57"/>
    <d v="2028-04-08T00:00:00"/>
    <x v="5"/>
    <x v="1"/>
    <x v="0"/>
  </r>
  <r>
    <x v="42"/>
    <n v="1"/>
    <n v="16666666.666666666"/>
    <n v="12333333.333333334"/>
    <n v="1480000"/>
    <n v="30480000"/>
    <d v="2026-04-25T00:00:00"/>
    <x v="10"/>
    <x v="1"/>
    <x v="0"/>
  </r>
  <r>
    <x v="42"/>
    <n v="2"/>
    <n v="16666666.666666666"/>
    <n v="11819444.444444444"/>
    <n v="1418333.3333333333"/>
    <n v="29904444.444444444"/>
    <d v="2026-05-25T00:00:00"/>
    <x v="10"/>
    <x v="1"/>
    <x v="0"/>
  </r>
  <r>
    <x v="42"/>
    <n v="3"/>
    <n v="16666666.666666666"/>
    <n v="11305555.555555554"/>
    <n v="1356666.6666666665"/>
    <n v="29328888.888888888"/>
    <d v="2026-06-25T00:00:00"/>
    <x v="10"/>
    <x v="1"/>
    <x v="0"/>
  </r>
  <r>
    <x v="42"/>
    <n v="4"/>
    <n v="16666666.666666666"/>
    <n v="10791666.666666664"/>
    <n v="1294999.9999999998"/>
    <n v="28753333.333333328"/>
    <d v="2026-07-25T00:00:00"/>
    <x v="10"/>
    <x v="1"/>
    <x v="0"/>
  </r>
  <r>
    <x v="42"/>
    <n v="5"/>
    <n v="16666666.666666666"/>
    <n v="10277777.777777776"/>
    <n v="1233333.333333333"/>
    <n v="28177777.777777776"/>
    <d v="2026-08-25T00:00:00"/>
    <x v="10"/>
    <x v="1"/>
    <x v="0"/>
  </r>
  <r>
    <x v="42"/>
    <n v="6"/>
    <n v="16666666.666666666"/>
    <n v="9763888.8888888862"/>
    <n v="1171666.6666666663"/>
    <n v="27602222.22222222"/>
    <d v="2026-09-25T00:00:00"/>
    <x v="10"/>
    <x v="1"/>
    <x v="0"/>
  </r>
  <r>
    <x v="42"/>
    <n v="7"/>
    <n v="16666666.666666666"/>
    <n v="9249999.9999999963"/>
    <n v="1109999.9999999995"/>
    <n v="27026666.66666666"/>
    <d v="2026-10-25T00:00:00"/>
    <x v="10"/>
    <x v="1"/>
    <x v="0"/>
  </r>
  <r>
    <x v="42"/>
    <n v="8"/>
    <n v="16666666.666666666"/>
    <n v="8736111.1111111064"/>
    <n v="1048333.3333333328"/>
    <n v="26451111.111111104"/>
    <d v="2026-11-25T00:00:00"/>
    <x v="10"/>
    <x v="1"/>
    <x v="0"/>
  </r>
  <r>
    <x v="42"/>
    <n v="9"/>
    <n v="16666666.666666666"/>
    <n v="8222222.2222222183"/>
    <n v="986666.66666666616"/>
    <n v="25875555.555555552"/>
    <d v="2026-12-25T00:00:00"/>
    <x v="10"/>
    <x v="1"/>
    <x v="0"/>
  </r>
  <r>
    <x v="42"/>
    <n v="10"/>
    <n v="16666666.666666666"/>
    <n v="7708333.3333333293"/>
    <n v="924999.99999999953"/>
    <n v="25299999.999999996"/>
    <d v="2027-01-25T00:00:00"/>
    <x v="10"/>
    <x v="1"/>
    <x v="0"/>
  </r>
  <r>
    <x v="42"/>
    <n v="11"/>
    <n v="16666666.666666666"/>
    <n v="7194444.4444444412"/>
    <n v="863333.33333333291"/>
    <n v="24724444.44444444"/>
    <d v="2027-02-25T00:00:00"/>
    <x v="10"/>
    <x v="1"/>
    <x v="0"/>
  </r>
  <r>
    <x v="42"/>
    <n v="12"/>
    <n v="16666666.666666666"/>
    <n v="6680555.5555555522"/>
    <n v="801666.66666666628"/>
    <n v="24148888.888888884"/>
    <d v="2027-03-25T00:00:00"/>
    <x v="10"/>
    <x v="1"/>
    <x v="0"/>
  </r>
  <r>
    <x v="42"/>
    <n v="13"/>
    <n v="16666666.666666666"/>
    <n v="6166666.6666666642"/>
    <n v="739999.99999999965"/>
    <n v="23573333.333333328"/>
    <d v="2027-04-25T00:00:00"/>
    <x v="10"/>
    <x v="1"/>
    <x v="0"/>
  </r>
  <r>
    <x v="42"/>
    <n v="14"/>
    <n v="16666666.666666666"/>
    <n v="5652777.7777777752"/>
    <n v="678333.33333333302"/>
    <n v="22997777.777777776"/>
    <d v="2027-05-25T00:00:00"/>
    <x v="10"/>
    <x v="1"/>
    <x v="0"/>
  </r>
  <r>
    <x v="42"/>
    <n v="15"/>
    <n v="16666666.666666666"/>
    <n v="5138888.8888888871"/>
    <n v="616666.66666666651"/>
    <n v="22422222.22222222"/>
    <d v="2027-06-25T00:00:00"/>
    <x v="10"/>
    <x v="1"/>
    <x v="0"/>
  </r>
  <r>
    <x v="42"/>
    <n v="16"/>
    <n v="16666666.666666666"/>
    <n v="4624999.9999999981"/>
    <n v="554999.99999999977"/>
    <n v="21846666.666666664"/>
    <d v="2027-07-25T00:00:00"/>
    <x v="10"/>
    <x v="1"/>
    <x v="0"/>
  </r>
  <r>
    <x v="42"/>
    <n v="17"/>
    <n v="16666666.666666666"/>
    <n v="4111111.1111111091"/>
    <n v="493333.33333333308"/>
    <n v="21271111.111111108"/>
    <d v="2027-08-25T00:00:00"/>
    <x v="10"/>
    <x v="1"/>
    <x v="0"/>
  </r>
  <r>
    <x v="42"/>
    <n v="18"/>
    <n v="16666666.666666666"/>
    <n v="3597222.2222222202"/>
    <n v="431666.6666666664"/>
    <n v="20695555.555555552"/>
    <d v="2027-09-25T00:00:00"/>
    <x v="10"/>
    <x v="1"/>
    <x v="0"/>
  </r>
  <r>
    <x v="42"/>
    <n v="19"/>
    <n v="16666666.666666666"/>
    <n v="3083333.3333333312"/>
    <n v="369999.99999999977"/>
    <n v="20119999.999999996"/>
    <d v="2027-10-25T00:00:00"/>
    <x v="10"/>
    <x v="1"/>
    <x v="0"/>
  </r>
  <r>
    <x v="42"/>
    <n v="20"/>
    <n v="16666666.666666666"/>
    <n v="2569444.4444444422"/>
    <n v="308333.33333333308"/>
    <n v="19544444.44444444"/>
    <d v="2027-11-25T00:00:00"/>
    <x v="10"/>
    <x v="1"/>
    <x v="0"/>
  </r>
  <r>
    <x v="42"/>
    <n v="21"/>
    <n v="16666666.666666666"/>
    <n v="2055555.5555555532"/>
    <n v="246666.6666666664"/>
    <n v="18968888.888888884"/>
    <d v="2027-12-25T00:00:00"/>
    <x v="10"/>
    <x v="1"/>
    <x v="0"/>
  </r>
  <r>
    <x v="42"/>
    <n v="22"/>
    <n v="16666666.666666666"/>
    <n v="1541666.6666666644"/>
    <n v="184999.99999999974"/>
    <n v="18393333.333333328"/>
    <d v="2028-01-25T00:00:00"/>
    <x v="10"/>
    <x v="1"/>
    <x v="0"/>
  </r>
  <r>
    <x v="42"/>
    <n v="23"/>
    <n v="16666666.666666666"/>
    <n v="1027777.7777777755"/>
    <n v="123333.33333333307"/>
    <n v="17817777.777777776"/>
    <d v="2028-02-25T00:00:00"/>
    <x v="10"/>
    <x v="1"/>
    <x v="0"/>
  </r>
  <r>
    <x v="42"/>
    <n v="24"/>
    <n v="16666666.666666666"/>
    <n v="513888.88888888666"/>
    <n v="61666.666666666402"/>
    <n v="17242222.22222222"/>
    <d v="2028-03-25T00:00:00"/>
    <x v="10"/>
    <x v="1"/>
    <x v="0"/>
  </r>
  <r>
    <x v="27"/>
    <m/>
    <m/>
    <m/>
    <m/>
    <m/>
    <m/>
    <x v="11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10E4B-2CA6-4ABD-9AFF-90A556FF2DEE}" name="TablaDinámica3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4:D37" firstHeaderRow="0" firstDataRow="1" firstDataCol="2" rowPageCount="2" colPageCount="1"/>
  <pivotFields count="10">
    <pivotField axis="axisRow" compact="0" outline="0" showAll="0" defaultSubtotal="0">
      <items count="43">
        <item x="1"/>
        <item x="7"/>
        <item x="3"/>
        <item x="0"/>
        <item x="17"/>
        <item x="5"/>
        <item x="14"/>
        <item x="8"/>
        <item x="15"/>
        <item x="26"/>
        <item x="25"/>
        <item x="23"/>
        <item x="4"/>
        <item x="33"/>
        <item x="39"/>
        <item x="20"/>
        <item x="19"/>
        <item x="10"/>
        <item x="31"/>
        <item x="21"/>
        <item x="28"/>
        <item x="29"/>
        <item x="30"/>
        <item x="9"/>
        <item x="6"/>
        <item x="36"/>
        <item x="16"/>
        <item x="2"/>
        <item x="11"/>
        <item x="32"/>
        <item x="13"/>
        <item x="18"/>
        <item x="12"/>
        <item x="22"/>
        <item x="24"/>
        <item x="34"/>
        <item x="35"/>
        <item x="38"/>
        <item x="37"/>
        <item x="27"/>
        <item x="40"/>
        <item x="41"/>
        <item x="42"/>
      </items>
    </pivotField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2">
        <item x="5"/>
        <item x="0"/>
        <item x="7"/>
        <item x="8"/>
        <item x="1"/>
        <item x="6"/>
        <item x="9"/>
        <item x="2"/>
        <item x="4"/>
        <item x="3"/>
        <item x="11"/>
        <item x="10"/>
      </items>
    </pivotField>
    <pivotField axis="axisPage" compact="0" outline="0" multipleItemSelectionAllowed="1" showAll="0" defaultSubtotal="0">
      <items count="3">
        <item h="1" x="0"/>
        <item x="1"/>
        <item h="1" x="2"/>
      </items>
    </pivotField>
    <pivotField axis="axisPage" compact="0" outline="0" multipleItemSelectionAllowed="1" showAll="0" defaultSubtotal="0">
      <items count="2">
        <item h="1" x="1"/>
        <item x="0"/>
      </items>
    </pivotField>
  </pivotFields>
  <rowFields count="2">
    <field x="0"/>
    <field x="7"/>
  </rowFields>
  <rowItems count="3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 v="1"/>
    </i>
    <i>
      <x v="10"/>
      <x v="1"/>
    </i>
    <i>
      <x v="11"/>
      <x v="2"/>
    </i>
    <i>
      <x v="12"/>
      <x v="4"/>
    </i>
    <i>
      <x v="13"/>
      <x/>
    </i>
    <i>
      <x v="14"/>
      <x/>
    </i>
    <i>
      <x v="15"/>
      <x/>
    </i>
    <i>
      <x v="16"/>
      <x/>
    </i>
    <i>
      <x v="17"/>
      <x v="9"/>
    </i>
    <i>
      <x v="19"/>
      <x v="5"/>
    </i>
    <i>
      <x v="25"/>
      <x v="7"/>
    </i>
    <i>
      <x v="26"/>
      <x v="4"/>
    </i>
    <i>
      <x v="27"/>
      <x v="4"/>
    </i>
    <i>
      <x v="28"/>
      <x v="4"/>
    </i>
    <i>
      <x v="30"/>
      <x v="8"/>
    </i>
    <i>
      <x v="31"/>
      <x v="8"/>
    </i>
    <i>
      <x v="32"/>
      <x v="8"/>
    </i>
    <i>
      <x v="33"/>
      <x v="8"/>
    </i>
    <i>
      <x v="34"/>
      <x v="8"/>
    </i>
    <i>
      <x v="37"/>
      <x v="8"/>
    </i>
    <i>
      <x v="38"/>
      <x v="8"/>
    </i>
    <i>
      <x v="40"/>
      <x v="8"/>
    </i>
    <i>
      <x v="41"/>
      <x/>
    </i>
    <i>
      <x v="42"/>
      <x v="11"/>
    </i>
  </rowItems>
  <colFields count="1">
    <field x="-2"/>
  </colFields>
  <colItems count="2">
    <i>
      <x/>
    </i>
    <i i="1">
      <x v="1"/>
    </i>
  </colItems>
  <pageFields count="2">
    <pageField fld="8" hier="-1"/>
    <pageField fld="9" hier="-1"/>
  </pageFields>
  <dataFields count="2">
    <dataField name="Cuenta de B: Número de Cuota" fld="1" subtotal="count" baseField="7" baseItem="1"/>
    <dataField name="Suma de C: Capital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"/>
  <sheetViews>
    <sheetView topLeftCell="C1" workbookViewId="0"/>
  </sheetViews>
  <sheetFormatPr baseColWidth="10" defaultColWidth="11.5703125" defaultRowHeight="15"/>
  <cols>
    <col min="1" max="16384" width="11.5703125" style="5"/>
  </cols>
  <sheetData/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ostrarFormulario">
                <anchor>
                  <from>
                    <xdr:col>3</xdr:col>
                    <xdr:colOff>485775</xdr:colOff>
                    <xdr:row>12</xdr:row>
                    <xdr:rowOff>95250</xdr:rowOff>
                  </from>
                  <to>
                    <xdr:col>5</xdr:col>
                    <xdr:colOff>400050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MostrarFormulario2">
                <anchor moveWithCells="1" sizeWithCells="1">
                  <from>
                    <xdr:col>5</xdr:col>
                    <xdr:colOff>552450</xdr:colOff>
                    <xdr:row>12</xdr:row>
                    <xdr:rowOff>104775</xdr:rowOff>
                  </from>
                  <to>
                    <xdr:col>7</xdr:col>
                    <xdr:colOff>466725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AbrirEliminarCreditoForm">
                <anchor moveWithCells="1" sizeWithCells="1">
                  <from>
                    <xdr:col>7</xdr:col>
                    <xdr:colOff>723900</xdr:colOff>
                    <xdr:row>12</xdr:row>
                    <xdr:rowOff>95250</xdr:rowOff>
                  </from>
                  <to>
                    <xdr:col>9</xdr:col>
                    <xdr:colOff>638175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AbrirActualizar">
                <anchor moveWithCells="1" sizeWithCells="1">
                  <from>
                    <xdr:col>10</xdr:col>
                    <xdr:colOff>47625</xdr:colOff>
                    <xdr:row>12</xdr:row>
                    <xdr:rowOff>95250</xdr:rowOff>
                  </from>
                  <to>
                    <xdr:col>11</xdr:col>
                    <xdr:colOff>733425</xdr:colOff>
                    <xdr:row>15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 filterMode="1"/>
  <dimension ref="A1:L44"/>
  <sheetViews>
    <sheetView workbookViewId="0">
      <pane ySplit="1" topLeftCell="A2" activePane="bottomLeft" state="frozen"/>
      <selection pane="bottomLeft" activeCell="H47" sqref="H47"/>
    </sheetView>
  </sheetViews>
  <sheetFormatPr baseColWidth="10" defaultRowHeight="15"/>
  <cols>
    <col min="1" max="1" width="17.42578125" bestFit="1" customWidth="1"/>
    <col min="2" max="2" width="16.42578125" bestFit="1" customWidth="1"/>
    <col min="3" max="3" width="15.42578125" bestFit="1" customWidth="1"/>
    <col min="4" max="4" width="16.85546875" style="1" bestFit="1" customWidth="1"/>
    <col min="5" max="5" width="27.85546875" style="2" bestFit="1" customWidth="1"/>
    <col min="6" max="6" width="26.85546875" style="1" bestFit="1" customWidth="1"/>
    <col min="8" max="8" width="20.5703125" bestFit="1" customWidth="1"/>
    <col min="9" max="9" width="25" customWidth="1"/>
    <col min="10" max="10" width="27.28515625" style="1" bestFit="1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4" t="s">
        <v>3</v>
      </c>
      <c r="E1" s="14" t="s">
        <v>4</v>
      </c>
      <c r="F1" s="4" t="s">
        <v>5</v>
      </c>
      <c r="G1" s="3" t="s">
        <v>6</v>
      </c>
      <c r="H1" s="3" t="s">
        <v>7</v>
      </c>
      <c r="I1" s="4" t="s">
        <v>14</v>
      </c>
      <c r="J1" s="4"/>
    </row>
    <row r="2" spans="1:12" hidden="1">
      <c r="A2">
        <v>36663680</v>
      </c>
      <c r="B2" s="6">
        <v>45983</v>
      </c>
      <c r="C2">
        <v>12</v>
      </c>
      <c r="D2" s="1">
        <v>500000000</v>
      </c>
      <c r="E2" s="2">
        <v>41</v>
      </c>
      <c r="F2" s="1">
        <v>60.748917974902696</v>
      </c>
      <c r="G2">
        <v>12</v>
      </c>
      <c r="H2" t="s">
        <v>28</v>
      </c>
      <c r="I2" t="s">
        <v>27</v>
      </c>
      <c r="J2" s="1">
        <f>+D2*L2</f>
        <v>205000000</v>
      </c>
      <c r="K2">
        <v>100</v>
      </c>
      <c r="L2" s="23">
        <f>+E2/$K$2</f>
        <v>0.41</v>
      </c>
    </row>
    <row r="3" spans="1:12" hidden="1">
      <c r="A3">
        <v>66235635</v>
      </c>
      <c r="B3" s="6">
        <v>45475</v>
      </c>
      <c r="C3">
        <v>60</v>
      </c>
      <c r="D3" s="1">
        <v>380000000</v>
      </c>
      <c r="E3" s="2">
        <v>25</v>
      </c>
      <c r="F3" s="1">
        <v>13.551915228366852</v>
      </c>
      <c r="G3">
        <v>12</v>
      </c>
      <c r="H3" t="s">
        <v>25</v>
      </c>
      <c r="I3" t="s">
        <v>26</v>
      </c>
      <c r="J3" s="1">
        <f t="shared" ref="J3:J27" si="0">+D3*L3</f>
        <v>95000000</v>
      </c>
      <c r="L3" s="23">
        <f t="shared" ref="L3:L27" si="1">+E3/$K$2</f>
        <v>0.25</v>
      </c>
    </row>
    <row r="4" spans="1:12" hidden="1">
      <c r="A4">
        <v>25912222</v>
      </c>
      <c r="B4" s="6">
        <v>45398</v>
      </c>
      <c r="C4">
        <v>12</v>
      </c>
      <c r="D4" s="1">
        <v>100000000</v>
      </c>
      <c r="E4" s="2">
        <v>25</v>
      </c>
      <c r="F4" s="1">
        <v>13.551915228366852</v>
      </c>
      <c r="G4">
        <v>12</v>
      </c>
      <c r="H4" t="s">
        <v>28</v>
      </c>
      <c r="I4" t="s">
        <v>27</v>
      </c>
      <c r="J4" s="1">
        <f t="shared" si="0"/>
        <v>25000000</v>
      </c>
      <c r="L4" s="23">
        <f t="shared" si="1"/>
        <v>0.25</v>
      </c>
    </row>
    <row r="5" spans="1:12" hidden="1">
      <c r="A5">
        <v>27520596</v>
      </c>
      <c r="B5" s="6">
        <v>45472</v>
      </c>
      <c r="C5">
        <v>12</v>
      </c>
      <c r="D5" s="1">
        <v>230000000</v>
      </c>
      <c r="E5" s="2">
        <v>29.5</v>
      </c>
      <c r="F5" s="1">
        <v>21.245246421687231</v>
      </c>
      <c r="G5">
        <v>12</v>
      </c>
      <c r="H5" t="s">
        <v>28</v>
      </c>
      <c r="I5" t="s">
        <v>27</v>
      </c>
      <c r="J5" s="1">
        <f t="shared" si="0"/>
        <v>67850000</v>
      </c>
      <c r="L5" s="23">
        <f t="shared" si="1"/>
        <v>0.29499999999999998</v>
      </c>
    </row>
    <row r="6" spans="1:12" hidden="1">
      <c r="A6">
        <v>2537844</v>
      </c>
      <c r="B6" s="6">
        <v>45378</v>
      </c>
      <c r="C6">
        <v>48</v>
      </c>
      <c r="D6" s="1">
        <v>120000000</v>
      </c>
      <c r="E6" s="2">
        <v>30</v>
      </c>
      <c r="F6" s="1">
        <v>241.03882918573746</v>
      </c>
      <c r="G6">
        <v>12</v>
      </c>
      <c r="H6" t="s">
        <v>28</v>
      </c>
      <c r="I6" t="s">
        <v>29</v>
      </c>
      <c r="J6" s="1">
        <f t="shared" si="0"/>
        <v>36000000</v>
      </c>
      <c r="L6" s="23">
        <f t="shared" si="1"/>
        <v>0.3</v>
      </c>
    </row>
    <row r="7" spans="1:12" hidden="1">
      <c r="A7">
        <v>347916</v>
      </c>
      <c r="B7" s="6">
        <v>45470</v>
      </c>
      <c r="C7">
        <v>72</v>
      </c>
      <c r="D7" s="1">
        <v>300000000</v>
      </c>
      <c r="E7" s="2">
        <v>27</v>
      </c>
      <c r="F7" s="1">
        <v>16.605349516220766</v>
      </c>
      <c r="G7">
        <v>12</v>
      </c>
      <c r="H7" t="s">
        <v>25</v>
      </c>
      <c r="I7" t="s">
        <v>30</v>
      </c>
      <c r="J7" s="1">
        <f t="shared" si="0"/>
        <v>81000000</v>
      </c>
      <c r="L7" s="23">
        <f t="shared" si="1"/>
        <v>0.27</v>
      </c>
    </row>
    <row r="8" spans="1:12" hidden="1">
      <c r="A8">
        <v>22901462</v>
      </c>
      <c r="B8" s="6">
        <v>44562</v>
      </c>
      <c r="C8">
        <v>36</v>
      </c>
      <c r="D8" s="1">
        <v>14300478</v>
      </c>
      <c r="E8" s="2">
        <v>34</v>
      </c>
      <c r="F8" s="1">
        <v>32.51641663337621</v>
      </c>
      <c r="G8">
        <v>12</v>
      </c>
      <c r="H8" t="s">
        <v>28</v>
      </c>
      <c r="I8" t="s">
        <v>26</v>
      </c>
      <c r="J8" s="1">
        <f t="shared" si="0"/>
        <v>4862162.5200000005</v>
      </c>
      <c r="L8" s="23">
        <f t="shared" si="1"/>
        <v>0.34</v>
      </c>
    </row>
    <row r="9" spans="1:12" hidden="1">
      <c r="A9">
        <v>65210751</v>
      </c>
      <c r="B9" s="6">
        <v>45461</v>
      </c>
      <c r="C9">
        <v>60</v>
      </c>
      <c r="D9" s="1">
        <v>430000000</v>
      </c>
      <c r="E9" s="2">
        <v>25</v>
      </c>
      <c r="F9" s="1">
        <v>13.551915228366852</v>
      </c>
      <c r="G9">
        <v>12</v>
      </c>
      <c r="H9" t="s">
        <v>28</v>
      </c>
      <c r="I9" t="s">
        <v>26</v>
      </c>
      <c r="J9" s="1">
        <f t="shared" si="0"/>
        <v>107500000</v>
      </c>
      <c r="L9" s="23">
        <f t="shared" si="1"/>
        <v>0.25</v>
      </c>
    </row>
    <row r="10" spans="1:12" hidden="1">
      <c r="A10">
        <v>20466</v>
      </c>
      <c r="B10" s="6">
        <v>44804</v>
      </c>
      <c r="C10">
        <v>72</v>
      </c>
      <c r="D10" s="1">
        <v>40000000</v>
      </c>
      <c r="E10" s="2">
        <v>36</v>
      </c>
      <c r="F10" s="1">
        <v>39.037495277186871</v>
      </c>
      <c r="G10">
        <v>12</v>
      </c>
      <c r="H10" t="s">
        <v>25</v>
      </c>
      <c r="I10" t="s">
        <v>31</v>
      </c>
      <c r="J10" s="1">
        <f t="shared" si="0"/>
        <v>14400000</v>
      </c>
      <c r="L10" s="23">
        <f t="shared" si="1"/>
        <v>0.36</v>
      </c>
    </row>
    <row r="11" spans="1:12" hidden="1">
      <c r="A11">
        <v>20828</v>
      </c>
      <c r="B11" s="6">
        <v>44907</v>
      </c>
      <c r="C11">
        <v>72</v>
      </c>
      <c r="D11" s="1">
        <v>52379403</v>
      </c>
      <c r="E11" s="2">
        <v>36</v>
      </c>
      <c r="F11" s="1">
        <v>39.037495277186871</v>
      </c>
      <c r="G11">
        <v>12</v>
      </c>
      <c r="H11" t="s">
        <v>25</v>
      </c>
      <c r="I11" t="s">
        <v>31</v>
      </c>
      <c r="J11" s="1">
        <f t="shared" si="0"/>
        <v>18856585.079999998</v>
      </c>
      <c r="L11" s="23">
        <f t="shared" si="1"/>
        <v>0.36</v>
      </c>
    </row>
    <row r="12" spans="1:12" hidden="1">
      <c r="A12">
        <v>22044</v>
      </c>
      <c r="B12" s="6">
        <v>45140</v>
      </c>
      <c r="C12">
        <v>72</v>
      </c>
      <c r="D12" s="1">
        <v>81223547.301657036</v>
      </c>
      <c r="E12" s="1">
        <v>34</v>
      </c>
      <c r="G12" s="1">
        <v>12</v>
      </c>
      <c r="H12" t="s">
        <v>25</v>
      </c>
      <c r="I12" t="s">
        <v>31</v>
      </c>
      <c r="J12" s="1">
        <f t="shared" si="0"/>
        <v>27616006.082563393</v>
      </c>
      <c r="L12" s="23">
        <f t="shared" si="1"/>
        <v>0.34</v>
      </c>
    </row>
    <row r="13" spans="1:12" hidden="1">
      <c r="A13">
        <v>119980</v>
      </c>
      <c r="B13" s="6">
        <v>45600</v>
      </c>
      <c r="C13">
        <v>60</v>
      </c>
      <c r="D13" s="1">
        <v>680000000</v>
      </c>
      <c r="E13" s="2">
        <v>32</v>
      </c>
      <c r="F13" s="1">
        <v>26.982542656501476</v>
      </c>
      <c r="G13">
        <v>12</v>
      </c>
      <c r="H13" t="s">
        <v>28</v>
      </c>
      <c r="I13" t="s">
        <v>26</v>
      </c>
      <c r="J13" s="1">
        <f t="shared" si="0"/>
        <v>217600000</v>
      </c>
      <c r="L13" s="23">
        <f t="shared" si="1"/>
        <v>0.32</v>
      </c>
    </row>
    <row r="14" spans="1:12" hidden="1">
      <c r="A14">
        <v>23430</v>
      </c>
      <c r="B14" s="6">
        <v>45492</v>
      </c>
      <c r="C14">
        <v>84</v>
      </c>
      <c r="D14" s="1">
        <v>126000000</v>
      </c>
      <c r="E14" s="2">
        <v>25</v>
      </c>
      <c r="F14" s="1">
        <v>13.551915228366852</v>
      </c>
      <c r="G14">
        <v>12</v>
      </c>
      <c r="H14" t="s">
        <v>25</v>
      </c>
      <c r="I14" t="s">
        <v>31</v>
      </c>
      <c r="J14" s="1">
        <f t="shared" si="0"/>
        <v>31500000</v>
      </c>
      <c r="L14" s="23">
        <f t="shared" si="1"/>
        <v>0.25</v>
      </c>
    </row>
    <row r="15" spans="1:12" hidden="1">
      <c r="A15">
        <v>30065708</v>
      </c>
      <c r="B15" s="6">
        <v>45611</v>
      </c>
      <c r="C15">
        <v>12</v>
      </c>
      <c r="D15" s="1">
        <v>155000000</v>
      </c>
      <c r="E15" s="2">
        <v>36</v>
      </c>
      <c r="F15" s="1">
        <v>39.037495277186871</v>
      </c>
      <c r="G15">
        <v>12</v>
      </c>
      <c r="H15" t="s">
        <v>25</v>
      </c>
      <c r="I15" t="s">
        <v>27</v>
      </c>
      <c r="J15" s="1">
        <f t="shared" si="0"/>
        <v>55800000</v>
      </c>
      <c r="L15" s="23">
        <f t="shared" si="1"/>
        <v>0.36</v>
      </c>
    </row>
    <row r="16" spans="1:12" hidden="1">
      <c r="A16">
        <v>28343183</v>
      </c>
      <c r="B16" s="6">
        <v>45520</v>
      </c>
      <c r="C16">
        <v>18</v>
      </c>
      <c r="D16" s="1">
        <v>200000000</v>
      </c>
      <c r="E16" s="2">
        <v>34</v>
      </c>
      <c r="F16" s="1">
        <v>32.51641663337621</v>
      </c>
      <c r="G16">
        <v>12</v>
      </c>
      <c r="H16" t="s">
        <v>25</v>
      </c>
      <c r="I16" t="s">
        <v>27</v>
      </c>
      <c r="J16" s="1">
        <f t="shared" si="0"/>
        <v>68000000</v>
      </c>
      <c r="L16" s="23">
        <f t="shared" si="1"/>
        <v>0.34</v>
      </c>
    </row>
    <row r="17" spans="1:12">
      <c r="A17" s="41">
        <v>863502400</v>
      </c>
      <c r="B17" s="6">
        <v>45643</v>
      </c>
      <c r="C17">
        <v>60</v>
      </c>
      <c r="D17" s="1">
        <v>290000000</v>
      </c>
      <c r="E17" s="2">
        <v>34</v>
      </c>
      <c r="F17" s="1">
        <v>32.51641663337621</v>
      </c>
      <c r="G17">
        <v>12</v>
      </c>
      <c r="H17" t="s">
        <v>25</v>
      </c>
      <c r="I17" t="s">
        <v>24</v>
      </c>
      <c r="J17" s="1">
        <f t="shared" si="0"/>
        <v>98600000</v>
      </c>
      <c r="L17" s="23">
        <f t="shared" si="1"/>
        <v>0.34</v>
      </c>
    </row>
    <row r="18" spans="1:12" hidden="1">
      <c r="A18">
        <v>863502600</v>
      </c>
      <c r="B18" s="6">
        <v>45643</v>
      </c>
      <c r="C18">
        <v>60</v>
      </c>
      <c r="D18" s="1">
        <v>150000000</v>
      </c>
      <c r="E18" s="2">
        <v>34</v>
      </c>
      <c r="F18" s="1">
        <v>32.51641663337621</v>
      </c>
      <c r="G18">
        <v>12</v>
      </c>
      <c r="H18" t="s">
        <v>25</v>
      </c>
      <c r="I18" t="s">
        <v>34</v>
      </c>
      <c r="J18" s="1">
        <f t="shared" si="0"/>
        <v>51000000</v>
      </c>
      <c r="L18" s="23">
        <f t="shared" si="1"/>
        <v>0.34</v>
      </c>
    </row>
    <row r="19" spans="1:12" hidden="1">
      <c r="A19">
        <v>394949</v>
      </c>
      <c r="B19" s="6">
        <v>45652</v>
      </c>
      <c r="C19">
        <v>72</v>
      </c>
      <c r="D19" s="1">
        <v>150000000</v>
      </c>
      <c r="E19" s="2">
        <v>34</v>
      </c>
      <c r="F19" s="1">
        <v>32.51641663337621</v>
      </c>
      <c r="G19">
        <v>12</v>
      </c>
      <c r="H19" t="s">
        <v>25</v>
      </c>
      <c r="I19" t="s">
        <v>30</v>
      </c>
      <c r="J19" s="1">
        <f t="shared" si="0"/>
        <v>51000000</v>
      </c>
      <c r="L19" s="23">
        <f t="shared" si="1"/>
        <v>0.34</v>
      </c>
    </row>
    <row r="20" spans="1:12" hidden="1">
      <c r="A20">
        <v>31295</v>
      </c>
      <c r="B20" s="6">
        <v>45653</v>
      </c>
      <c r="C20">
        <v>60</v>
      </c>
      <c r="D20" s="1">
        <v>196000000</v>
      </c>
      <c r="E20" s="2">
        <v>33</v>
      </c>
      <c r="F20" s="1">
        <v>29.635127461052825</v>
      </c>
      <c r="G20">
        <v>12</v>
      </c>
      <c r="H20" t="s">
        <v>25</v>
      </c>
      <c r="I20" t="s">
        <v>35</v>
      </c>
      <c r="J20" s="1">
        <f t="shared" si="0"/>
        <v>64680000</v>
      </c>
      <c r="L20" s="23">
        <f t="shared" si="1"/>
        <v>0.33</v>
      </c>
    </row>
    <row r="21" spans="1:12" hidden="1">
      <c r="A21">
        <v>23467</v>
      </c>
      <c r="B21" s="6">
        <v>45523</v>
      </c>
      <c r="C21">
        <v>83</v>
      </c>
      <c r="D21" s="1">
        <v>472500000</v>
      </c>
      <c r="E21" s="2">
        <v>25</v>
      </c>
      <c r="F21" s="1">
        <v>13.551915228366852</v>
      </c>
      <c r="G21">
        <v>12</v>
      </c>
      <c r="H21" t="s">
        <v>25</v>
      </c>
      <c r="I21" t="s">
        <v>31</v>
      </c>
      <c r="J21" s="1">
        <f t="shared" si="0"/>
        <v>118125000</v>
      </c>
      <c r="L21" s="23">
        <f t="shared" si="1"/>
        <v>0.25</v>
      </c>
    </row>
    <row r="22" spans="1:12">
      <c r="A22">
        <v>885417400</v>
      </c>
      <c r="B22" s="6">
        <v>45741</v>
      </c>
      <c r="C22">
        <v>18</v>
      </c>
      <c r="D22" s="1">
        <v>500000000</v>
      </c>
      <c r="E22" s="2">
        <v>36.68</v>
      </c>
      <c r="F22" s="1">
        <v>41.506920378418961</v>
      </c>
      <c r="G22">
        <v>12</v>
      </c>
      <c r="H22" t="s">
        <v>28</v>
      </c>
      <c r="I22" t="s">
        <v>24</v>
      </c>
      <c r="J22" s="1">
        <f t="shared" si="0"/>
        <v>183400000</v>
      </c>
      <c r="L22" s="23">
        <f t="shared" si="1"/>
        <v>0.36680000000000001</v>
      </c>
    </row>
    <row r="23" spans="1:12">
      <c r="A23">
        <v>885417900</v>
      </c>
      <c r="B23" s="6">
        <v>45744</v>
      </c>
      <c r="C23">
        <v>18</v>
      </c>
      <c r="D23" s="1">
        <v>500000000</v>
      </c>
      <c r="E23" s="2">
        <v>36.68</v>
      </c>
      <c r="F23" s="1">
        <v>41.506920378418961</v>
      </c>
      <c r="G23">
        <v>12</v>
      </c>
      <c r="H23" t="s">
        <v>28</v>
      </c>
      <c r="I23" t="s">
        <v>24</v>
      </c>
      <c r="J23" s="1">
        <f t="shared" si="0"/>
        <v>183400000</v>
      </c>
      <c r="L23" s="23">
        <f t="shared" si="1"/>
        <v>0.36680000000000001</v>
      </c>
    </row>
    <row r="24" spans="1:12" hidden="1">
      <c r="A24">
        <v>23700</v>
      </c>
      <c r="B24" s="6">
        <v>45695</v>
      </c>
      <c r="C24">
        <v>36</v>
      </c>
      <c r="D24" s="1">
        <v>500000000</v>
      </c>
      <c r="E24" s="2">
        <v>35.5</v>
      </c>
      <c r="F24" s="1">
        <v>37.306417924551283</v>
      </c>
      <c r="G24">
        <v>12</v>
      </c>
      <c r="H24" t="s">
        <v>25</v>
      </c>
      <c r="I24" t="s">
        <v>31</v>
      </c>
      <c r="J24" s="1">
        <f t="shared" si="0"/>
        <v>177500000</v>
      </c>
      <c r="L24" s="23">
        <f t="shared" si="1"/>
        <v>0.35499999999999998</v>
      </c>
    </row>
    <row r="25" spans="1:12" hidden="1">
      <c r="A25">
        <v>85223302</v>
      </c>
      <c r="B25" s="6">
        <v>45761</v>
      </c>
      <c r="C25">
        <v>1</v>
      </c>
      <c r="D25" s="1">
        <v>36299340</v>
      </c>
      <c r="E25" s="2">
        <v>14.5</v>
      </c>
      <c r="F25" s="1">
        <v>4.0776859902106759</v>
      </c>
      <c r="G25">
        <v>12</v>
      </c>
      <c r="H25" t="s">
        <v>25</v>
      </c>
      <c r="I25" t="s">
        <v>36</v>
      </c>
      <c r="J25" s="1">
        <f t="shared" si="0"/>
        <v>5263404.3</v>
      </c>
      <c r="L25" s="23">
        <f t="shared" si="1"/>
        <v>0.14499999999999999</v>
      </c>
    </row>
    <row r="26" spans="1:12" hidden="1">
      <c r="A26">
        <v>23790</v>
      </c>
      <c r="B26" s="6">
        <v>45733</v>
      </c>
      <c r="C26">
        <v>36</v>
      </c>
      <c r="D26" s="1">
        <v>500000000</v>
      </c>
      <c r="E26" s="2">
        <v>35.625</v>
      </c>
      <c r="F26" s="1">
        <v>37.73263241855966</v>
      </c>
      <c r="G26">
        <v>12</v>
      </c>
      <c r="H26" t="s">
        <v>25</v>
      </c>
      <c r="I26" t="s">
        <v>31</v>
      </c>
      <c r="J26" s="1">
        <f t="shared" si="0"/>
        <v>178125000</v>
      </c>
      <c r="L26" s="23">
        <f t="shared" si="1"/>
        <v>0.35625000000000001</v>
      </c>
    </row>
    <row r="27" spans="1:12" hidden="1">
      <c r="A27">
        <v>23996</v>
      </c>
      <c r="B27" s="6">
        <v>45851</v>
      </c>
      <c r="C27">
        <v>84</v>
      </c>
      <c r="D27" s="1">
        <v>300000000</v>
      </c>
      <c r="E27" s="2">
        <v>40.875</v>
      </c>
      <c r="F27" s="1">
        <v>1.2521915889608248</v>
      </c>
      <c r="G27">
        <v>12</v>
      </c>
      <c r="H27" t="s">
        <v>25</v>
      </c>
      <c r="I27" t="s">
        <v>31</v>
      </c>
      <c r="J27" s="1">
        <f t="shared" si="0"/>
        <v>122625000</v>
      </c>
      <c r="K27" t="e">
        <f>+J27/C276</f>
        <v>#DIV/0!</v>
      </c>
      <c r="L27" s="23">
        <f t="shared" si="1"/>
        <v>0.40875</v>
      </c>
    </row>
    <row r="28" spans="1:12" hidden="1">
      <c r="A28">
        <v>119980</v>
      </c>
      <c r="B28" s="6">
        <v>45600</v>
      </c>
      <c r="C28">
        <v>60</v>
      </c>
      <c r="D28" s="1">
        <v>680000000</v>
      </c>
      <c r="E28" s="2">
        <v>32</v>
      </c>
      <c r="F28" s="1">
        <v>26.982542656501476</v>
      </c>
      <c r="G28">
        <v>12</v>
      </c>
      <c r="H28" t="s">
        <v>28</v>
      </c>
      <c r="I28" t="s">
        <v>26</v>
      </c>
      <c r="L28" s="23"/>
    </row>
    <row r="29" spans="1:12" hidden="1">
      <c r="A29">
        <v>75472831</v>
      </c>
      <c r="B29" s="6">
        <v>45582</v>
      </c>
      <c r="C29">
        <v>60</v>
      </c>
      <c r="D29" s="1">
        <v>100000000</v>
      </c>
      <c r="E29" s="2">
        <v>32</v>
      </c>
      <c r="F29" s="23"/>
      <c r="G29">
        <v>12</v>
      </c>
      <c r="H29" t="s">
        <v>28</v>
      </c>
      <c r="I29" t="s">
        <v>26</v>
      </c>
      <c r="L29" s="23"/>
    </row>
    <row r="30" spans="1:12" hidden="1">
      <c r="A30">
        <v>927328</v>
      </c>
      <c r="B30" s="6">
        <v>45582</v>
      </c>
      <c r="C30">
        <v>60</v>
      </c>
      <c r="D30" s="1">
        <v>435000000</v>
      </c>
      <c r="E30" s="2">
        <v>29.9</v>
      </c>
      <c r="F30" s="23">
        <v>34.36</v>
      </c>
      <c r="G30">
        <v>12</v>
      </c>
      <c r="H30" t="s">
        <v>25</v>
      </c>
      <c r="I30" t="s">
        <v>32</v>
      </c>
      <c r="L30" s="23"/>
    </row>
    <row r="31" spans="1:12" hidden="1">
      <c r="A31">
        <v>24004</v>
      </c>
      <c r="B31" s="6">
        <v>45855</v>
      </c>
      <c r="C31">
        <v>60</v>
      </c>
      <c r="D31" s="1">
        <v>150000000</v>
      </c>
      <c r="E31" s="2">
        <v>40.875</v>
      </c>
      <c r="F31" s="1">
        <v>60.095208132306247</v>
      </c>
      <c r="G31">
        <v>12</v>
      </c>
      <c r="H31" t="s">
        <v>25</v>
      </c>
      <c r="I31" t="s">
        <v>31</v>
      </c>
    </row>
    <row r="32" spans="1:12" hidden="1">
      <c r="A32">
        <v>24132</v>
      </c>
      <c r="B32" s="6">
        <v>45919</v>
      </c>
      <c r="C32">
        <v>84</v>
      </c>
      <c r="D32" s="1">
        <v>180000000</v>
      </c>
      <c r="E32" s="1">
        <v>47.686999999999998</v>
      </c>
      <c r="F32" s="22">
        <v>106.67310172554222</v>
      </c>
      <c r="G32">
        <v>12</v>
      </c>
      <c r="H32" t="s">
        <v>25</v>
      </c>
      <c r="I32" t="s">
        <v>31</v>
      </c>
    </row>
    <row r="33" spans="1:9" hidden="1">
      <c r="A33">
        <v>24214</v>
      </c>
      <c r="B33" s="6">
        <v>45959</v>
      </c>
      <c r="C33">
        <v>48</v>
      </c>
      <c r="D33" s="1">
        <v>180000000</v>
      </c>
      <c r="E33" s="1">
        <v>62.5</v>
      </c>
      <c r="F33" s="1">
        <v>338.03175968561845</v>
      </c>
      <c r="G33">
        <v>12</v>
      </c>
      <c r="H33" t="s">
        <v>25</v>
      </c>
      <c r="I33" t="s">
        <v>31</v>
      </c>
    </row>
    <row r="34" spans="1:9" hidden="1">
      <c r="A34">
        <v>170207</v>
      </c>
      <c r="B34" s="6">
        <v>45937</v>
      </c>
      <c r="C34">
        <v>48</v>
      </c>
      <c r="D34" s="1">
        <v>300000000</v>
      </c>
      <c r="E34" s="1">
        <v>55</v>
      </c>
      <c r="F34" s="1">
        <v>191.30048432337648</v>
      </c>
      <c r="G34">
        <v>12</v>
      </c>
      <c r="H34" t="s">
        <v>25</v>
      </c>
      <c r="I34" t="s">
        <v>30</v>
      </c>
    </row>
    <row r="35" spans="1:9">
      <c r="A35">
        <v>936549900</v>
      </c>
      <c r="B35" s="6">
        <v>45966</v>
      </c>
      <c r="C35">
        <v>18</v>
      </c>
      <c r="D35" s="1">
        <v>400000000</v>
      </c>
      <c r="E35" s="2">
        <v>76</v>
      </c>
      <c r="F35" s="1">
        <v>882.38905424560539</v>
      </c>
      <c r="G35">
        <v>12</v>
      </c>
      <c r="H35" t="s">
        <v>28</v>
      </c>
      <c r="I35" t="s">
        <v>24</v>
      </c>
    </row>
    <row r="36" spans="1:9">
      <c r="A36">
        <v>933803600</v>
      </c>
      <c r="B36" s="6">
        <v>45989</v>
      </c>
      <c r="C36">
        <v>18</v>
      </c>
      <c r="D36" s="1">
        <v>500000000</v>
      </c>
      <c r="E36" s="2">
        <v>65.03</v>
      </c>
      <c r="F36" s="1">
        <v>407.08891305176263</v>
      </c>
      <c r="G36">
        <v>12</v>
      </c>
      <c r="H36" t="s">
        <v>25</v>
      </c>
      <c r="I36" t="s">
        <v>24</v>
      </c>
    </row>
    <row r="37" spans="1:9">
      <c r="A37">
        <v>946100200</v>
      </c>
      <c r="B37" s="6">
        <v>46010</v>
      </c>
      <c r="C37">
        <v>18</v>
      </c>
      <c r="D37" s="1">
        <v>400000000</v>
      </c>
      <c r="E37" s="2">
        <v>38.89</v>
      </c>
      <c r="F37" s="1">
        <v>50.529002437309735</v>
      </c>
      <c r="G37">
        <v>12</v>
      </c>
      <c r="H37" t="s">
        <v>28</v>
      </c>
      <c r="I37" t="s">
        <v>24</v>
      </c>
    </row>
    <row r="38" spans="1:9">
      <c r="A38">
        <v>945870600</v>
      </c>
      <c r="B38" s="6">
        <v>46010</v>
      </c>
      <c r="C38">
        <v>18</v>
      </c>
      <c r="D38" s="1">
        <v>500000000</v>
      </c>
      <c r="E38" s="2">
        <v>39.32</v>
      </c>
      <c r="F38" s="1">
        <v>52.476329359464714</v>
      </c>
      <c r="G38">
        <v>12</v>
      </c>
      <c r="H38" t="s">
        <v>28</v>
      </c>
      <c r="I38" t="s">
        <v>24</v>
      </c>
    </row>
    <row r="39" spans="1:9" hidden="1">
      <c r="A39">
        <v>281431</v>
      </c>
      <c r="B39" s="6">
        <v>46007</v>
      </c>
      <c r="C39">
        <v>60</v>
      </c>
      <c r="D39" s="1">
        <v>200000000</v>
      </c>
      <c r="E39" s="2">
        <v>43.64</v>
      </c>
      <c r="F39" s="1">
        <v>76.144462497363577</v>
      </c>
      <c r="G39">
        <v>12</v>
      </c>
      <c r="H39" t="s">
        <v>25</v>
      </c>
      <c r="I39" t="s">
        <v>30</v>
      </c>
    </row>
    <row r="40" spans="1:9">
      <c r="A40">
        <v>957186200</v>
      </c>
      <c r="B40" s="6">
        <v>46078</v>
      </c>
      <c r="C40">
        <v>18</v>
      </c>
      <c r="D40" s="1">
        <v>500000000</v>
      </c>
      <c r="E40" s="2">
        <v>40.64</v>
      </c>
      <c r="F40" s="1">
        <v>58.883378275425905</v>
      </c>
      <c r="G40">
        <v>12</v>
      </c>
      <c r="H40" t="s">
        <v>28</v>
      </c>
      <c r="I40" t="s">
        <v>24</v>
      </c>
    </row>
    <row r="41" spans="1:9" hidden="1">
      <c r="A41">
        <v>292466</v>
      </c>
      <c r="B41" s="6">
        <v>46120</v>
      </c>
      <c r="C41">
        <v>24</v>
      </c>
      <c r="D41" s="1">
        <v>200000000</v>
      </c>
      <c r="E41" s="2">
        <v>36.5</v>
      </c>
      <c r="F41" s="1">
        <v>40.840013551409555</v>
      </c>
      <c r="G41">
        <v>12</v>
      </c>
      <c r="H41" t="s">
        <v>28</v>
      </c>
      <c r="I41" t="s">
        <v>30</v>
      </c>
    </row>
    <row r="42" spans="1:9" hidden="1">
      <c r="A42">
        <v>28308295</v>
      </c>
      <c r="B42" s="6">
        <v>46106</v>
      </c>
      <c r="C42">
        <v>24</v>
      </c>
      <c r="D42" s="1">
        <v>400000000</v>
      </c>
      <c r="E42" s="2">
        <v>37</v>
      </c>
      <c r="F42" s="1">
        <v>42.716643078717347</v>
      </c>
      <c r="G42">
        <v>12</v>
      </c>
      <c r="H42" t="s">
        <v>28</v>
      </c>
      <c r="I42" t="s">
        <v>134</v>
      </c>
    </row>
    <row r="43" spans="1:9">
      <c r="A43">
        <v>963148500</v>
      </c>
      <c r="B43" s="6">
        <v>46120</v>
      </c>
      <c r="C43">
        <v>16</v>
      </c>
      <c r="D43" s="1">
        <v>350000000</v>
      </c>
      <c r="E43" s="2">
        <v>37.78</v>
      </c>
      <c r="F43" s="1">
        <v>45.798740497903722</v>
      </c>
      <c r="G43">
        <v>12</v>
      </c>
      <c r="H43" t="s">
        <v>28</v>
      </c>
      <c r="I43" t="s">
        <v>24</v>
      </c>
    </row>
    <row r="44" spans="1:9">
      <c r="B44" s="6"/>
    </row>
  </sheetData>
  <autoFilter ref="A1:I43" xr:uid="{00000000-0001-0000-0100-000000000000}">
    <filterColumn colId="8">
      <filters>
        <filter val="BANCO SANTA FE"/>
      </filters>
    </filterColumn>
    <sortState xmlns:xlrd2="http://schemas.microsoft.com/office/spreadsheetml/2017/richdata2" ref="A17:I43">
      <sortCondition ref="B1:B43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 filterMode="1"/>
  <dimension ref="A1:K1868"/>
  <sheetViews>
    <sheetView tabSelected="1" topLeftCell="D1" zoomScale="110" zoomScaleNormal="110" workbookViewId="0">
      <pane ySplit="1" topLeftCell="A543" activePane="bottomLeft" state="frozen"/>
      <selection pane="bottomLeft" sqref="A1:H1853"/>
    </sheetView>
  </sheetViews>
  <sheetFormatPr baseColWidth="10" defaultColWidth="11.42578125" defaultRowHeight="15"/>
  <cols>
    <col min="1" max="1" width="18.7109375" style="2" bestFit="1" customWidth="1"/>
    <col min="2" max="2" width="20.28515625" style="2" bestFit="1" customWidth="1"/>
    <col min="3" max="3" width="17.5703125" style="8" bestFit="1" customWidth="1"/>
    <col min="4" max="4" width="26.5703125" style="8" customWidth="1"/>
    <col min="5" max="5" width="16.140625" style="8" bestFit="1" customWidth="1"/>
    <col min="6" max="6" width="20" style="8" customWidth="1"/>
    <col min="7" max="7" width="25.7109375" style="1" bestFit="1" customWidth="1"/>
    <col min="8" max="8" width="22.7109375" style="1" bestFit="1" customWidth="1"/>
    <col min="9" max="9" width="14.85546875" style="15" bestFit="1" customWidth="1"/>
    <col min="10" max="10" width="16.85546875" style="15" bestFit="1" customWidth="1"/>
    <col min="11" max="16384" width="11.42578125" style="15"/>
  </cols>
  <sheetData>
    <row r="1" spans="1:11" s="3" customFormat="1">
      <c r="A1" s="3" t="s">
        <v>0</v>
      </c>
      <c r="B1" s="3" t="s">
        <v>8</v>
      </c>
      <c r="C1" s="21" t="s">
        <v>9</v>
      </c>
      <c r="D1" s="21" t="s">
        <v>10</v>
      </c>
      <c r="E1" s="21" t="s">
        <v>11</v>
      </c>
      <c r="F1" s="21" t="s">
        <v>12</v>
      </c>
      <c r="G1" s="3" t="s">
        <v>13</v>
      </c>
      <c r="H1" s="4" t="s">
        <v>16</v>
      </c>
      <c r="I1" s="3" t="s">
        <v>131</v>
      </c>
      <c r="J1" s="3" t="s">
        <v>130</v>
      </c>
      <c r="K1" s="38">
        <v>46139</v>
      </c>
    </row>
    <row r="2" spans="1:11" s="1" customFormat="1" hidden="1">
      <c r="A2" s="9">
        <v>23430</v>
      </c>
      <c r="B2" s="9">
        <v>2</v>
      </c>
      <c r="C2" s="13">
        <v>0</v>
      </c>
      <c r="D2" s="13">
        <v>4142465.71</v>
      </c>
      <c r="E2" s="13">
        <v>497095.89</v>
      </c>
      <c r="F2" s="13">
        <v>4639561.5999999996</v>
      </c>
      <c r="G2" s="11">
        <v>45554</v>
      </c>
      <c r="H2" s="10" t="s">
        <v>31</v>
      </c>
      <c r="I2" s="1" t="str">
        <f>IF(G2&lt;=$K$1,"Pagado","Pendiente")</f>
        <v>Pagado</v>
      </c>
    </row>
    <row r="3" spans="1:11" s="1" customFormat="1" hidden="1">
      <c r="A3" s="9">
        <v>23430</v>
      </c>
      <c r="B3" s="9">
        <v>3</v>
      </c>
      <c r="C3" s="13">
        <v>0</v>
      </c>
      <c r="D3" s="13">
        <v>4142465.71</v>
      </c>
      <c r="E3" s="13">
        <v>497095.89</v>
      </c>
      <c r="F3" s="13">
        <v>4639561.5999999996</v>
      </c>
      <c r="G3" s="11">
        <v>45584</v>
      </c>
      <c r="H3" s="10" t="s">
        <v>31</v>
      </c>
      <c r="I3" s="1" t="str">
        <f t="shared" ref="I3:I66" si="0">IF(G3&lt;=$K$1,"Pagado","Pendiente")</f>
        <v>Pagado</v>
      </c>
    </row>
    <row r="4" spans="1:11" s="10" customFormat="1" hidden="1">
      <c r="A4" s="9">
        <v>23430</v>
      </c>
      <c r="B4" s="9">
        <v>4</v>
      </c>
      <c r="C4" s="13">
        <v>0</v>
      </c>
      <c r="D4" s="13">
        <v>4142465.71</v>
      </c>
      <c r="E4" s="13">
        <v>497095.89</v>
      </c>
      <c r="F4" s="13">
        <v>4639561.5999999996</v>
      </c>
      <c r="G4" s="11">
        <v>45615</v>
      </c>
      <c r="H4" s="10" t="s">
        <v>31</v>
      </c>
      <c r="I4" s="1" t="str">
        <f t="shared" si="0"/>
        <v>Pagado</v>
      </c>
    </row>
    <row r="5" spans="1:11" s="10" customFormat="1" hidden="1">
      <c r="A5" s="9">
        <v>23430</v>
      </c>
      <c r="B5" s="9">
        <v>5</v>
      </c>
      <c r="C5" s="13">
        <v>0</v>
      </c>
      <c r="D5" s="13">
        <v>4142465.71</v>
      </c>
      <c r="E5" s="13">
        <v>497095.89</v>
      </c>
      <c r="F5" s="13">
        <v>4639561.5999999996</v>
      </c>
      <c r="G5" s="11">
        <v>45645</v>
      </c>
      <c r="H5" s="10" t="s">
        <v>31</v>
      </c>
      <c r="I5" s="1" t="str">
        <f t="shared" si="0"/>
        <v>Pagado</v>
      </c>
    </row>
    <row r="6" spans="1:11" s="10" customFormat="1" hidden="1">
      <c r="A6" s="9">
        <v>23430</v>
      </c>
      <c r="B6" s="9">
        <v>6</v>
      </c>
      <c r="C6" s="13">
        <v>0</v>
      </c>
      <c r="D6" s="13">
        <v>4142465.71</v>
      </c>
      <c r="E6" s="13">
        <v>497095.89</v>
      </c>
      <c r="F6" s="13">
        <v>4639561.5999999996</v>
      </c>
      <c r="G6" s="11">
        <v>45676</v>
      </c>
      <c r="H6" s="10" t="s">
        <v>31</v>
      </c>
      <c r="I6" s="1" t="str">
        <f t="shared" si="0"/>
        <v>Pagado</v>
      </c>
    </row>
    <row r="7" spans="1:11" s="10" customFormat="1" hidden="1">
      <c r="A7" s="9">
        <v>23430</v>
      </c>
      <c r="B7" s="9">
        <v>7</v>
      </c>
      <c r="C7" s="13">
        <v>0</v>
      </c>
      <c r="D7" s="13">
        <v>3616569.43</v>
      </c>
      <c r="E7" s="13">
        <f>+D7*0.12</f>
        <v>433988.33159999998</v>
      </c>
      <c r="F7" s="13">
        <f>+D7+E7</f>
        <v>4050557.7616000003</v>
      </c>
      <c r="G7" s="11">
        <v>45707</v>
      </c>
      <c r="H7" s="10" t="s">
        <v>31</v>
      </c>
      <c r="I7" s="1" t="str">
        <f t="shared" si="0"/>
        <v>Pagado</v>
      </c>
    </row>
    <row r="8" spans="1:11" s="10" customFormat="1" hidden="1">
      <c r="A8" s="9">
        <v>23430</v>
      </c>
      <c r="B8" s="9">
        <v>8</v>
      </c>
      <c r="C8" s="13">
        <v>0</v>
      </c>
      <c r="D8" s="13">
        <v>3335399.55</v>
      </c>
      <c r="E8" s="13">
        <f>+D8*0.12</f>
        <v>400247.94599999994</v>
      </c>
      <c r="F8" s="13">
        <f>+D8+E8</f>
        <v>3735647.4959999998</v>
      </c>
      <c r="G8" s="11">
        <v>45735</v>
      </c>
      <c r="H8" s="10" t="s">
        <v>31</v>
      </c>
      <c r="I8" s="1" t="str">
        <f t="shared" si="0"/>
        <v>Pagado</v>
      </c>
    </row>
    <row r="9" spans="1:11" s="10" customFormat="1" hidden="1">
      <c r="A9" s="9">
        <v>23430</v>
      </c>
      <c r="B9" s="9">
        <v>9</v>
      </c>
      <c r="C9" s="13">
        <v>0</v>
      </c>
      <c r="D9" s="13">
        <v>4142465.71</v>
      </c>
      <c r="E9" s="13">
        <v>497095.89</v>
      </c>
      <c r="F9" s="13">
        <v>4639561.5999999996</v>
      </c>
      <c r="G9" s="11">
        <v>45766</v>
      </c>
      <c r="H9" s="10" t="s">
        <v>31</v>
      </c>
      <c r="I9" s="1" t="str">
        <f t="shared" si="0"/>
        <v>Pagado</v>
      </c>
    </row>
    <row r="10" spans="1:11" s="10" customFormat="1" hidden="1">
      <c r="A10" s="9">
        <v>23430</v>
      </c>
      <c r="B10" s="9">
        <v>10</v>
      </c>
      <c r="C10" s="13">
        <v>0</v>
      </c>
      <c r="D10" s="13">
        <v>4142465.71</v>
      </c>
      <c r="E10" s="13">
        <v>497095.89</v>
      </c>
      <c r="F10" s="13">
        <v>4639561.5999999996</v>
      </c>
      <c r="G10" s="11">
        <v>45796</v>
      </c>
      <c r="H10" s="10" t="s">
        <v>31</v>
      </c>
      <c r="I10" s="1" t="str">
        <f t="shared" si="0"/>
        <v>Pagado</v>
      </c>
    </row>
    <row r="11" spans="1:11" hidden="1">
      <c r="A11" s="2">
        <v>23430</v>
      </c>
      <c r="B11" s="2">
        <v>11</v>
      </c>
      <c r="C11" s="8">
        <v>0</v>
      </c>
      <c r="D11" s="8">
        <v>4142465.71</v>
      </c>
      <c r="E11" s="8">
        <v>497095.89</v>
      </c>
      <c r="F11" s="8">
        <v>4639561.5999999996</v>
      </c>
      <c r="G11" s="7">
        <v>45827</v>
      </c>
      <c r="H11" s="1" t="s">
        <v>31</v>
      </c>
      <c r="I11" s="1" t="str">
        <f t="shared" si="0"/>
        <v>Pagado</v>
      </c>
    </row>
    <row r="12" spans="1:11" hidden="1">
      <c r="A12" s="2">
        <v>23430</v>
      </c>
      <c r="B12" s="2">
        <v>12</v>
      </c>
      <c r="C12" s="8">
        <v>0</v>
      </c>
      <c r="D12" s="8">
        <v>4142465.71</v>
      </c>
      <c r="E12" s="8">
        <v>497095.89</v>
      </c>
      <c r="F12" s="8">
        <v>4639561.5999999996</v>
      </c>
      <c r="G12" s="7">
        <v>45857</v>
      </c>
      <c r="H12" s="1" t="s">
        <v>31</v>
      </c>
      <c r="I12" s="1" t="str">
        <f t="shared" si="0"/>
        <v>Pagado</v>
      </c>
    </row>
    <row r="13" spans="1:11" hidden="1">
      <c r="A13" s="2">
        <v>23430</v>
      </c>
      <c r="B13" s="2">
        <v>13</v>
      </c>
      <c r="C13" s="8">
        <v>446958.54</v>
      </c>
      <c r="D13" s="8">
        <v>4142465.71</v>
      </c>
      <c r="E13" s="8">
        <v>497095.89</v>
      </c>
      <c r="F13" s="8">
        <v>5086520.1399999997</v>
      </c>
      <c r="G13" s="7">
        <v>45888</v>
      </c>
      <c r="H13" s="1" t="s">
        <v>31</v>
      </c>
      <c r="I13" s="1" t="str">
        <f t="shared" si="0"/>
        <v>Pagado</v>
      </c>
    </row>
    <row r="14" spans="1:11" hidden="1">
      <c r="A14" s="2">
        <v>20466</v>
      </c>
      <c r="B14" s="2">
        <v>36</v>
      </c>
      <c r="C14" s="8">
        <v>456300.95493154926</v>
      </c>
      <c r="D14" s="8">
        <v>905860.82885523653</v>
      </c>
      <c r="E14" s="8">
        <f>+D14*0.12</f>
        <v>108703.29946262838</v>
      </c>
      <c r="F14" s="8">
        <f>+C14+D14+E14</f>
        <v>1470865.0832494141</v>
      </c>
      <c r="G14" s="7">
        <v>45900</v>
      </c>
      <c r="H14" s="1" t="s">
        <v>31</v>
      </c>
      <c r="I14" s="1" t="str">
        <f t="shared" si="0"/>
        <v>Pagado</v>
      </c>
    </row>
    <row r="15" spans="1:11" hidden="1">
      <c r="A15" s="9">
        <v>66235635</v>
      </c>
      <c r="B15" s="9">
        <v>1</v>
      </c>
      <c r="C15" s="13">
        <v>0</v>
      </c>
      <c r="D15" s="13">
        <v>8068493.1500000004</v>
      </c>
      <c r="E15" s="13">
        <v>968219.1799999997</v>
      </c>
      <c r="F15" s="13">
        <v>9036712.3300000001</v>
      </c>
      <c r="G15" s="11">
        <v>45506</v>
      </c>
      <c r="H15" s="10" t="s">
        <v>26</v>
      </c>
      <c r="I15" s="1" t="str">
        <f t="shared" si="0"/>
        <v>Pagado</v>
      </c>
    </row>
    <row r="16" spans="1:11" hidden="1">
      <c r="A16" s="2">
        <v>22044</v>
      </c>
      <c r="B16" s="2">
        <v>25</v>
      </c>
      <c r="C16" s="8">
        <v>661140.20410014177</v>
      </c>
      <c r="D16" s="8">
        <v>2070857.6467471062</v>
      </c>
      <c r="E16" s="8">
        <v>248502.91760965274</v>
      </c>
      <c r="F16" s="8">
        <v>2980500.7684569005</v>
      </c>
      <c r="G16" s="7">
        <v>45902</v>
      </c>
      <c r="H16" s="1" t="s">
        <v>31</v>
      </c>
      <c r="I16" s="1" t="str">
        <f t="shared" si="0"/>
        <v>Pagado</v>
      </c>
    </row>
    <row r="17" spans="1:10" hidden="1">
      <c r="A17" s="9">
        <v>119980</v>
      </c>
      <c r="B17" s="9">
        <v>1</v>
      </c>
      <c r="C17" s="13">
        <v>0</v>
      </c>
      <c r="D17" s="13">
        <v>17884931.510000002</v>
      </c>
      <c r="E17" s="13">
        <f>+F17-D17-C17</f>
        <v>2146191.7799999975</v>
      </c>
      <c r="F17" s="13">
        <v>20031123.289999999</v>
      </c>
      <c r="G17" s="11">
        <v>45630</v>
      </c>
      <c r="H17" s="10" t="s">
        <v>26</v>
      </c>
      <c r="I17" s="1" t="str">
        <f t="shared" si="0"/>
        <v>Pagado</v>
      </c>
    </row>
    <row r="18" spans="1:10" hidden="1">
      <c r="A18" s="2">
        <v>23700</v>
      </c>
      <c r="B18" s="2">
        <v>7</v>
      </c>
      <c r="C18" s="8">
        <v>9545818.3499999996</v>
      </c>
      <c r="D18" s="8">
        <v>13076078.880000001</v>
      </c>
      <c r="E18" s="8">
        <v>1569129.46</v>
      </c>
      <c r="F18" s="8">
        <v>24191026.690000001</v>
      </c>
      <c r="G18" s="7">
        <v>45907</v>
      </c>
      <c r="H18" s="1" t="s">
        <v>31</v>
      </c>
      <c r="I18" s="1" t="str">
        <f t="shared" si="0"/>
        <v>Pagado</v>
      </c>
    </row>
    <row r="19" spans="1:10" hidden="1">
      <c r="A19" s="9">
        <v>30065708</v>
      </c>
      <c r="B19" s="9">
        <v>1</v>
      </c>
      <c r="C19" s="13">
        <v>12916666.66</v>
      </c>
      <c r="D19" s="13">
        <v>4739178.08</v>
      </c>
      <c r="E19" s="13">
        <f>+F19-D19-C19</f>
        <v>273819.25999999978</v>
      </c>
      <c r="F19" s="13">
        <v>17929664</v>
      </c>
      <c r="G19" s="11">
        <v>45642</v>
      </c>
      <c r="H19" s="10" t="s">
        <v>27</v>
      </c>
      <c r="I19" s="1" t="str">
        <f t="shared" si="0"/>
        <v>Pagado</v>
      </c>
      <c r="J19" s="15" t="s">
        <v>129</v>
      </c>
    </row>
    <row r="20" spans="1:10" hidden="1">
      <c r="A20" s="2">
        <v>20828</v>
      </c>
      <c r="B20" s="2">
        <v>33</v>
      </c>
      <c r="C20" s="8">
        <v>546814.79472101526</v>
      </c>
      <c r="D20" s="8">
        <v>1236915.7308831576</v>
      </c>
      <c r="E20" s="8">
        <f>+D20*0.105</f>
        <v>129876.15174273154</v>
      </c>
      <c r="F20" s="8">
        <f>+C20+D20+E20</f>
        <v>1913606.6773469043</v>
      </c>
      <c r="G20" s="7">
        <v>45912</v>
      </c>
      <c r="H20" s="1" t="s">
        <v>31</v>
      </c>
      <c r="I20" s="1" t="str">
        <f t="shared" si="0"/>
        <v>Pagado</v>
      </c>
    </row>
    <row r="21" spans="1:10" hidden="1">
      <c r="A21" s="2">
        <v>23996</v>
      </c>
      <c r="B21" s="2">
        <v>2</v>
      </c>
      <c r="C21" s="8">
        <v>0</v>
      </c>
      <c r="D21" s="8">
        <v>9416095.8000000007</v>
      </c>
      <c r="E21" s="8">
        <v>1130873.1100000001</v>
      </c>
      <c r="F21" s="8">
        <f>+C21+D21+E21</f>
        <v>10546968.91</v>
      </c>
      <c r="G21" s="7">
        <v>45913</v>
      </c>
      <c r="H21" s="1" t="s">
        <v>31</v>
      </c>
      <c r="I21" s="1" t="str">
        <f t="shared" si="0"/>
        <v>Pagado</v>
      </c>
    </row>
    <row r="22" spans="1:10" hidden="1">
      <c r="A22" s="9">
        <v>28343183</v>
      </c>
      <c r="B22" s="9">
        <v>1</v>
      </c>
      <c r="C22" s="13">
        <v>11111111.130000001</v>
      </c>
      <c r="D22" s="13">
        <v>6158904.1100000003</v>
      </c>
      <c r="E22" s="13">
        <v>739068.29000000097</v>
      </c>
      <c r="F22" s="13">
        <v>18009083.530000001</v>
      </c>
      <c r="G22" s="11">
        <v>45551</v>
      </c>
      <c r="H22" s="10" t="s">
        <v>27</v>
      </c>
      <c r="I22" s="1" t="str">
        <f t="shared" si="0"/>
        <v>Pagado</v>
      </c>
    </row>
    <row r="23" spans="1:10" hidden="1">
      <c r="A23" s="9">
        <v>927328</v>
      </c>
      <c r="B23" s="9">
        <v>1</v>
      </c>
      <c r="C23" s="13">
        <v>3208269.6434659213</v>
      </c>
      <c r="D23" s="13">
        <v>10838750</v>
      </c>
      <c r="E23" s="13">
        <v>1300650</v>
      </c>
      <c r="F23" s="13">
        <v>15347669.643465921</v>
      </c>
      <c r="G23" s="11">
        <v>45613</v>
      </c>
      <c r="H23" s="10" t="s">
        <v>32</v>
      </c>
      <c r="I23" s="1" t="str">
        <f t="shared" si="0"/>
        <v>Pagado</v>
      </c>
    </row>
    <row r="24" spans="1:10" hidden="1">
      <c r="A24" s="9">
        <v>75472831</v>
      </c>
      <c r="B24" s="9">
        <v>1</v>
      </c>
      <c r="C24" s="13">
        <v>0</v>
      </c>
      <c r="D24" s="13">
        <v>2893150.68</v>
      </c>
      <c r="E24" s="13">
        <f>+F24-D24-C24</f>
        <v>347178.07999999961</v>
      </c>
      <c r="F24" s="13">
        <v>3240328.76</v>
      </c>
      <c r="G24" s="11">
        <v>45613</v>
      </c>
      <c r="H24" s="10" t="s">
        <v>26</v>
      </c>
      <c r="I24" s="1" t="str">
        <f t="shared" si="0"/>
        <v>Pagado</v>
      </c>
    </row>
    <row r="25" spans="1:10" hidden="1">
      <c r="A25" s="2">
        <v>863502600</v>
      </c>
      <c r="B25" s="2">
        <v>9</v>
      </c>
      <c r="C25" s="8">
        <v>1231770.1000000001</v>
      </c>
      <c r="D25" s="8">
        <v>3951809.5</v>
      </c>
      <c r="E25" s="8">
        <v>474217.14</v>
      </c>
      <c r="F25" s="8">
        <v>5657796.7400000002</v>
      </c>
      <c r="G25" s="7">
        <v>45917</v>
      </c>
      <c r="H25" s="1" t="s">
        <v>24</v>
      </c>
      <c r="I25" s="1" t="str">
        <f t="shared" si="0"/>
        <v>Pagado</v>
      </c>
    </row>
    <row r="26" spans="1:10" hidden="1">
      <c r="A26" s="9">
        <v>843950300</v>
      </c>
      <c r="B26" s="9">
        <v>1</v>
      </c>
      <c r="C26" s="13">
        <v>1487744.4</v>
      </c>
      <c r="D26" s="13">
        <v>6287625</v>
      </c>
      <c r="E26" s="13">
        <f>+F26-D26-C26</f>
        <v>754515.01000000024</v>
      </c>
      <c r="F26" s="13">
        <v>8529884.4100000001</v>
      </c>
      <c r="G26" s="11">
        <v>45592</v>
      </c>
      <c r="H26" s="10" t="s">
        <v>24</v>
      </c>
      <c r="I26" s="1" t="str">
        <f t="shared" si="0"/>
        <v>Pagado</v>
      </c>
    </row>
    <row r="27" spans="1:10" hidden="1">
      <c r="A27" s="2">
        <v>23790</v>
      </c>
      <c r="B27" s="2">
        <v>6</v>
      </c>
      <c r="C27" s="8">
        <v>9203974.3060486969</v>
      </c>
      <c r="D27" s="8">
        <v>13591259.788616663</v>
      </c>
      <c r="E27" s="8">
        <v>1630951.1746339996</v>
      </c>
      <c r="F27" s="8">
        <v>24426185.269299358</v>
      </c>
      <c r="G27" s="7">
        <v>45917</v>
      </c>
      <c r="H27" s="1" t="s">
        <v>31</v>
      </c>
      <c r="I27" s="1" t="str">
        <f t="shared" si="0"/>
        <v>Pagado</v>
      </c>
    </row>
    <row r="28" spans="1:10" hidden="1">
      <c r="A28" s="2">
        <v>24004</v>
      </c>
      <c r="B28" s="2">
        <v>2</v>
      </c>
      <c r="C28" s="8">
        <v>821900.89</v>
      </c>
      <c r="D28" s="8">
        <v>4952608.68</v>
      </c>
      <c r="E28" s="8">
        <v>594808.30000000005</v>
      </c>
      <c r="F28" s="8">
        <v>6369317.8700000001</v>
      </c>
      <c r="G28" s="7">
        <v>45917</v>
      </c>
      <c r="H28" s="1" t="s">
        <v>31</v>
      </c>
      <c r="I28" s="1" t="str">
        <f t="shared" si="0"/>
        <v>Pagado</v>
      </c>
    </row>
    <row r="29" spans="1:10" hidden="1">
      <c r="A29" s="9">
        <v>65210751</v>
      </c>
      <c r="B29" s="9">
        <v>1</v>
      </c>
      <c r="C29" s="13">
        <v>0</v>
      </c>
      <c r="D29" s="13">
        <v>8835616.4399999995</v>
      </c>
      <c r="E29" s="13">
        <v>1060273.9800000004</v>
      </c>
      <c r="F29" s="13">
        <v>9895890.4199999999</v>
      </c>
      <c r="G29" s="11">
        <v>45491</v>
      </c>
      <c r="H29" s="10" t="s">
        <v>26</v>
      </c>
      <c r="I29" s="1" t="str">
        <f t="shared" si="0"/>
        <v>Pagado</v>
      </c>
    </row>
    <row r="30" spans="1:10" hidden="1">
      <c r="A30" s="2">
        <v>23430</v>
      </c>
      <c r="B30" s="2">
        <v>14</v>
      </c>
      <c r="C30" s="8">
        <v>461653.07</v>
      </c>
      <c r="D30" s="8">
        <v>4127771.18</v>
      </c>
      <c r="E30" s="8">
        <v>495332.54</v>
      </c>
      <c r="F30" s="8">
        <v>5084756.79</v>
      </c>
      <c r="G30" s="7">
        <v>45919</v>
      </c>
      <c r="H30" s="1" t="s">
        <v>31</v>
      </c>
      <c r="I30" s="1" t="str">
        <f t="shared" si="0"/>
        <v>Pagado</v>
      </c>
    </row>
    <row r="31" spans="1:10" hidden="1">
      <c r="A31" s="2">
        <v>23467</v>
      </c>
      <c r="B31" s="2">
        <v>13</v>
      </c>
      <c r="C31" s="8">
        <v>1731199.02</v>
      </c>
      <c r="D31" s="8">
        <v>15479141.939999999</v>
      </c>
      <c r="E31" s="8">
        <v>1857497.03</v>
      </c>
      <c r="F31" s="8">
        <v>19067837.989999998</v>
      </c>
      <c r="G31" s="7">
        <v>45919</v>
      </c>
      <c r="H31" s="1" t="s">
        <v>31</v>
      </c>
      <c r="I31" s="1" t="str">
        <f t="shared" si="0"/>
        <v>Pagado</v>
      </c>
    </row>
    <row r="32" spans="1:10" hidden="1">
      <c r="A32" s="9">
        <v>863502400</v>
      </c>
      <c r="B32" s="9">
        <v>1</v>
      </c>
      <c r="C32" s="13">
        <v>1647402.23</v>
      </c>
      <c r="D32" s="13">
        <v>8374185</v>
      </c>
      <c r="E32" s="13">
        <v>1004902.21</v>
      </c>
      <c r="F32" s="13">
        <v>11026489.439999999</v>
      </c>
      <c r="G32" s="11">
        <v>45674</v>
      </c>
      <c r="H32" s="10" t="s">
        <v>24</v>
      </c>
      <c r="I32" s="1" t="str">
        <f t="shared" si="0"/>
        <v>Pagado</v>
      </c>
    </row>
    <row r="33" spans="1:10" hidden="1">
      <c r="A33" s="2">
        <v>394949</v>
      </c>
      <c r="B33" s="2">
        <v>9</v>
      </c>
      <c r="C33" s="8">
        <v>820701.36</v>
      </c>
      <c r="D33" s="8">
        <v>4085615.93</v>
      </c>
      <c r="E33" s="8">
        <v>490273.9</v>
      </c>
      <c r="F33" s="8">
        <v>5396591.1900000004</v>
      </c>
      <c r="G33" s="7">
        <v>45926</v>
      </c>
      <c r="H33" s="1" t="s">
        <v>30</v>
      </c>
      <c r="I33" s="1" t="str">
        <f t="shared" si="0"/>
        <v>Pagado</v>
      </c>
    </row>
    <row r="34" spans="1:10" s="10" customFormat="1" hidden="1">
      <c r="A34" s="9">
        <v>347916</v>
      </c>
      <c r="B34" s="9">
        <v>1</v>
      </c>
      <c r="C34" s="13">
        <v>1703183.7682594266</v>
      </c>
      <c r="D34" s="13">
        <v>6750000</v>
      </c>
      <c r="E34" s="13">
        <v>810000</v>
      </c>
      <c r="F34" s="13">
        <v>9263183.7682594266</v>
      </c>
      <c r="G34" s="11">
        <v>45500</v>
      </c>
      <c r="H34" s="10" t="s">
        <v>30</v>
      </c>
      <c r="I34" s="1" t="str">
        <f t="shared" si="0"/>
        <v>Pagado</v>
      </c>
    </row>
    <row r="35" spans="1:10" hidden="1">
      <c r="A35" s="9">
        <v>2537844</v>
      </c>
      <c r="B35" s="9">
        <v>1</v>
      </c>
      <c r="C35" s="13">
        <v>2500000</v>
      </c>
      <c r="D35" s="13">
        <v>5800000</v>
      </c>
      <c r="E35" s="13">
        <v>696000</v>
      </c>
      <c r="F35" s="13">
        <v>8996000</v>
      </c>
      <c r="G35" s="11">
        <v>45409</v>
      </c>
      <c r="H35" s="10" t="s">
        <v>29</v>
      </c>
      <c r="I35" s="1" t="str">
        <f t="shared" si="0"/>
        <v>Pagado</v>
      </c>
    </row>
    <row r="36" spans="1:10" hidden="1">
      <c r="A36" s="2">
        <v>885417400</v>
      </c>
      <c r="B36" s="2">
        <v>6</v>
      </c>
      <c r="C36" s="8">
        <v>27777777.777777776</v>
      </c>
      <c r="D36" s="8">
        <v>16175893.859999999</v>
      </c>
      <c r="E36" s="8">
        <f>+D36*0.12</f>
        <v>1941107.2631999999</v>
      </c>
      <c r="F36" s="8">
        <v>45894778.909999996</v>
      </c>
      <c r="G36" s="7">
        <v>45925</v>
      </c>
      <c r="H36" s="1" t="s">
        <v>24</v>
      </c>
      <c r="I36" s="1" t="str">
        <f t="shared" si="0"/>
        <v>Pagado</v>
      </c>
    </row>
    <row r="37" spans="1:10" hidden="1">
      <c r="A37" s="9">
        <v>31295</v>
      </c>
      <c r="B37" s="9">
        <v>1</v>
      </c>
      <c r="C37" s="13"/>
      <c r="D37" s="13">
        <v>5493369.8600000003</v>
      </c>
      <c r="E37" s="13">
        <v>659204.39</v>
      </c>
      <c r="F37" s="13">
        <v>6152574.25</v>
      </c>
      <c r="G37" s="11">
        <v>45684</v>
      </c>
      <c r="H37" s="10" t="s">
        <v>35</v>
      </c>
      <c r="I37" s="1" t="str">
        <f t="shared" si="0"/>
        <v>Pagado</v>
      </c>
    </row>
    <row r="38" spans="1:10" hidden="1">
      <c r="A38" s="2">
        <v>885417900</v>
      </c>
      <c r="B38" s="2">
        <v>6</v>
      </c>
      <c r="C38" s="8">
        <v>27777777.777777776</v>
      </c>
      <c r="D38" s="8">
        <v>16175893.859999999</v>
      </c>
      <c r="E38" s="8">
        <f>+D38*0.12</f>
        <v>1941107.2631999999</v>
      </c>
      <c r="F38" s="8">
        <v>45894778.909999996</v>
      </c>
      <c r="G38" s="7">
        <v>45928</v>
      </c>
      <c r="H38" s="1" t="s">
        <v>24</v>
      </c>
      <c r="I38" s="1" t="str">
        <f t="shared" si="0"/>
        <v>Pagado</v>
      </c>
    </row>
    <row r="39" spans="1:10" hidden="1">
      <c r="A39" s="2">
        <v>20466</v>
      </c>
      <c r="B39" s="2">
        <v>37</v>
      </c>
      <c r="C39" s="8">
        <v>469989.98357949569</v>
      </c>
      <c r="D39" s="8">
        <v>892171.8002072901</v>
      </c>
      <c r="E39" s="8">
        <f>+D39*0.12</f>
        <v>107060.61602487481</v>
      </c>
      <c r="F39" s="8">
        <f>+C39+D39+E39</f>
        <v>1469222.3998116606</v>
      </c>
      <c r="G39" s="7">
        <v>45930</v>
      </c>
      <c r="H39" s="1" t="s">
        <v>31</v>
      </c>
      <c r="I39" s="1" t="str">
        <f t="shared" si="0"/>
        <v>Pagado</v>
      </c>
    </row>
    <row r="40" spans="1:10" s="10" customFormat="1" hidden="1">
      <c r="A40" s="9">
        <v>66235635</v>
      </c>
      <c r="B40" s="9">
        <v>2</v>
      </c>
      <c r="C40" s="13">
        <v>0</v>
      </c>
      <c r="D40" s="13">
        <v>8068493.1500000004</v>
      </c>
      <c r="E40" s="13">
        <v>968219.1799999997</v>
      </c>
      <c r="F40" s="13">
        <v>9036712.3300000001</v>
      </c>
      <c r="G40" s="11">
        <v>45537</v>
      </c>
      <c r="H40" s="10" t="s">
        <v>26</v>
      </c>
      <c r="I40" s="1" t="str">
        <f t="shared" si="0"/>
        <v>Pagado</v>
      </c>
    </row>
    <row r="41" spans="1:10" hidden="1">
      <c r="A41" s="2">
        <v>22044</v>
      </c>
      <c r="B41" s="2">
        <v>26</v>
      </c>
      <c r="C41" s="8">
        <v>680974.4102231462</v>
      </c>
      <c r="D41" s="8">
        <v>2051023.4406241018</v>
      </c>
      <c r="E41" s="8">
        <v>246122.8128748922</v>
      </c>
      <c r="F41" s="8">
        <v>2978120.6637221402</v>
      </c>
      <c r="G41" s="7">
        <v>45932</v>
      </c>
      <c r="H41" s="1" t="s">
        <v>31</v>
      </c>
      <c r="I41" s="1" t="str">
        <f t="shared" si="0"/>
        <v>Pagado</v>
      </c>
    </row>
    <row r="42" spans="1:10" hidden="1">
      <c r="A42" s="9">
        <v>119980</v>
      </c>
      <c r="B42" s="9">
        <v>2</v>
      </c>
      <c r="C42" s="13">
        <v>0</v>
      </c>
      <c r="D42" s="13">
        <v>19673424.66</v>
      </c>
      <c r="E42" s="13">
        <f>+F42-D42-C42</f>
        <v>2360810.9600000009</v>
      </c>
      <c r="F42" s="13">
        <v>22034235.620000001</v>
      </c>
      <c r="G42" s="11">
        <v>45661</v>
      </c>
      <c r="H42" s="10" t="s">
        <v>26</v>
      </c>
      <c r="I42" s="1" t="str">
        <f t="shared" si="0"/>
        <v>Pagado</v>
      </c>
    </row>
    <row r="43" spans="1:10" hidden="1">
      <c r="A43" s="2">
        <v>23700</v>
      </c>
      <c r="B43" s="2">
        <v>8</v>
      </c>
      <c r="C43" s="8">
        <v>9824347.0199999996</v>
      </c>
      <c r="D43" s="8">
        <v>12797550.210000001</v>
      </c>
      <c r="E43" s="8">
        <v>1535706.02</v>
      </c>
      <c r="F43" s="8">
        <v>24157603.25</v>
      </c>
      <c r="G43" s="7">
        <v>45937</v>
      </c>
      <c r="H43" s="1" t="s">
        <v>31</v>
      </c>
      <c r="I43" s="1" t="str">
        <f t="shared" si="0"/>
        <v>Pagado</v>
      </c>
    </row>
    <row r="44" spans="1:10" hidden="1">
      <c r="A44" s="2">
        <v>20828</v>
      </c>
      <c r="B44" s="2">
        <v>34</v>
      </c>
      <c r="C44" s="8">
        <v>563219.23856264562</v>
      </c>
      <c r="D44" s="8">
        <v>1220511.2870415272</v>
      </c>
      <c r="E44" s="8">
        <f>+D44*0.105</f>
        <v>128153.68513936036</v>
      </c>
      <c r="F44" s="8">
        <f>+C44+D44+E44</f>
        <v>1911884.2107435332</v>
      </c>
      <c r="G44" s="7">
        <v>45942</v>
      </c>
      <c r="H44" s="1" t="s">
        <v>31</v>
      </c>
      <c r="I44" s="1" t="str">
        <f t="shared" si="0"/>
        <v>Pagado</v>
      </c>
    </row>
    <row r="45" spans="1:10" hidden="1">
      <c r="A45" s="9">
        <v>30065708</v>
      </c>
      <c r="B45" s="9">
        <v>2</v>
      </c>
      <c r="C45" s="13">
        <v>12916666.66</v>
      </c>
      <c r="D45" s="13">
        <v>3488827.0624999986</v>
      </c>
      <c r="E45" s="13">
        <v>418659.24749999982</v>
      </c>
      <c r="F45" s="13">
        <v>16824152.969999999</v>
      </c>
      <c r="G45" s="11">
        <v>45672</v>
      </c>
      <c r="H45" s="10" t="s">
        <v>27</v>
      </c>
      <c r="I45" s="1" t="str">
        <f t="shared" si="0"/>
        <v>Pagado</v>
      </c>
      <c r="J45" s="15" t="s">
        <v>129</v>
      </c>
    </row>
    <row r="46" spans="1:10" hidden="1">
      <c r="A46" s="2">
        <v>23996</v>
      </c>
      <c r="B46" s="2">
        <v>3</v>
      </c>
      <c r="C46" s="8">
        <v>0</v>
      </c>
      <c r="D46" s="8">
        <v>9416095.8000000007</v>
      </c>
      <c r="E46" s="8">
        <v>1130873.1100000001</v>
      </c>
      <c r="F46" s="8">
        <f>+C46+D46+E46</f>
        <v>10546968.91</v>
      </c>
      <c r="G46" s="7">
        <v>45943</v>
      </c>
      <c r="H46" s="1" t="s">
        <v>31</v>
      </c>
      <c r="I46" s="1" t="str">
        <f t="shared" si="0"/>
        <v>Pagado</v>
      </c>
    </row>
    <row r="47" spans="1:10" hidden="1">
      <c r="A47" s="9">
        <v>28343183</v>
      </c>
      <c r="B47" s="9">
        <v>2</v>
      </c>
      <c r="C47" s="13">
        <v>11111111.109999999</v>
      </c>
      <c r="D47" s="13">
        <v>5453196.3499999996</v>
      </c>
      <c r="E47" s="13">
        <v>654383.38000000082</v>
      </c>
      <c r="F47" s="13">
        <v>17218690.84</v>
      </c>
      <c r="G47" s="11">
        <v>45581</v>
      </c>
      <c r="H47" s="10" t="s">
        <v>27</v>
      </c>
      <c r="I47" s="1" t="str">
        <f t="shared" si="0"/>
        <v>Pagado</v>
      </c>
    </row>
    <row r="48" spans="1:10" hidden="1">
      <c r="A48" s="9">
        <v>927328</v>
      </c>
      <c r="B48" s="9">
        <v>2</v>
      </c>
      <c r="C48" s="13">
        <v>3288209.0287489481</v>
      </c>
      <c r="D48" s="13">
        <v>10758810.614716973</v>
      </c>
      <c r="E48" s="13">
        <v>1291057.2737660368</v>
      </c>
      <c r="F48" s="13">
        <v>15338076.917231958</v>
      </c>
      <c r="G48" s="11">
        <v>45643</v>
      </c>
      <c r="H48" s="10" t="s">
        <v>32</v>
      </c>
      <c r="I48" s="1" t="str">
        <f t="shared" si="0"/>
        <v>Pagado</v>
      </c>
    </row>
    <row r="49" spans="1:9" hidden="1">
      <c r="A49" s="9">
        <v>75472831</v>
      </c>
      <c r="B49" s="9">
        <v>2</v>
      </c>
      <c r="C49" s="13">
        <v>0</v>
      </c>
      <c r="D49" s="13">
        <v>2454794.52</v>
      </c>
      <c r="E49" s="13">
        <f>+F49-D49-C49</f>
        <v>294575.33999999985</v>
      </c>
      <c r="F49" s="13">
        <v>2749369.86</v>
      </c>
      <c r="G49" s="11">
        <v>45643</v>
      </c>
      <c r="H49" s="10" t="s">
        <v>26</v>
      </c>
      <c r="I49" s="1" t="str">
        <f t="shared" si="0"/>
        <v>Pagado</v>
      </c>
    </row>
    <row r="50" spans="1:9" hidden="1">
      <c r="A50" s="2">
        <v>863502600</v>
      </c>
      <c r="B50" s="2">
        <v>10</v>
      </c>
      <c r="C50" s="8">
        <v>1266191.9099999999</v>
      </c>
      <c r="D50" s="8">
        <v>3917387.69</v>
      </c>
      <c r="E50" s="8">
        <v>470086.53</v>
      </c>
      <c r="F50" s="8">
        <v>5653666.1299999999</v>
      </c>
      <c r="G50" s="7">
        <v>45947</v>
      </c>
      <c r="H50" s="1" t="s">
        <v>24</v>
      </c>
      <c r="I50" s="1" t="str">
        <f t="shared" si="0"/>
        <v>Pagado</v>
      </c>
    </row>
    <row r="51" spans="1:9" hidden="1">
      <c r="A51" s="9">
        <v>843950300</v>
      </c>
      <c r="B51" s="9">
        <v>2</v>
      </c>
      <c r="C51" s="13">
        <v>1529319.42</v>
      </c>
      <c r="D51" s="13">
        <v>6246049.9800000004</v>
      </c>
      <c r="E51" s="13">
        <f>+F51-D51-C51</f>
        <v>749526</v>
      </c>
      <c r="F51" s="13">
        <v>8524895.4000000004</v>
      </c>
      <c r="G51" s="11">
        <v>45623</v>
      </c>
      <c r="H51" s="10" t="s">
        <v>24</v>
      </c>
      <c r="I51" s="1" t="str">
        <f t="shared" si="0"/>
        <v>Pagado</v>
      </c>
    </row>
    <row r="52" spans="1:9" hidden="1">
      <c r="A52" s="2">
        <v>23790</v>
      </c>
      <c r="B52" s="2">
        <v>7</v>
      </c>
      <c r="C52" s="8">
        <v>9477217.2932595164</v>
      </c>
      <c r="D52" s="8">
        <v>13318016.801405843</v>
      </c>
      <c r="E52" s="8">
        <v>1598162.0161687012</v>
      </c>
      <c r="F52" s="8">
        <v>24393396.110834062</v>
      </c>
      <c r="G52" s="7">
        <v>45947</v>
      </c>
      <c r="H52" s="1" t="s">
        <v>31</v>
      </c>
      <c r="I52" s="1" t="str">
        <f t="shared" si="0"/>
        <v>Pagado</v>
      </c>
    </row>
    <row r="53" spans="1:9" hidden="1">
      <c r="A53" s="2">
        <v>24004</v>
      </c>
      <c r="B53" s="2">
        <v>3</v>
      </c>
      <c r="C53" s="8">
        <v>849513.39</v>
      </c>
      <c r="D53" s="8">
        <v>4924996.18</v>
      </c>
      <c r="E53" s="8">
        <v>591492.04</v>
      </c>
      <c r="F53" s="8">
        <v>6366001.6100000003</v>
      </c>
      <c r="G53" s="7">
        <v>45947</v>
      </c>
      <c r="H53" s="1" t="s">
        <v>31</v>
      </c>
      <c r="I53" s="1" t="str">
        <f t="shared" si="0"/>
        <v>Pagado</v>
      </c>
    </row>
    <row r="54" spans="1:9" hidden="1">
      <c r="A54" s="9">
        <v>65210751</v>
      </c>
      <c r="B54" s="9">
        <v>2</v>
      </c>
      <c r="C54" s="13">
        <v>0</v>
      </c>
      <c r="D54" s="13">
        <v>9424657.5299999993</v>
      </c>
      <c r="E54" s="13">
        <v>1130958.9000000004</v>
      </c>
      <c r="F54" s="13">
        <v>10555616.43</v>
      </c>
      <c r="G54" s="11">
        <v>45522</v>
      </c>
      <c r="H54" s="10" t="s">
        <v>26</v>
      </c>
      <c r="I54" s="1" t="str">
        <f t="shared" si="0"/>
        <v>Pagado</v>
      </c>
    </row>
    <row r="55" spans="1:9" hidden="1">
      <c r="A55" s="2">
        <v>23430</v>
      </c>
      <c r="B55" s="2">
        <v>15</v>
      </c>
      <c r="C55" s="8">
        <v>476830.7</v>
      </c>
      <c r="D55" s="8">
        <v>4112593.55</v>
      </c>
      <c r="E55" s="8">
        <v>493511.22</v>
      </c>
      <c r="F55" s="8">
        <v>5082935.47</v>
      </c>
      <c r="G55" s="7">
        <v>45949</v>
      </c>
      <c r="H55" s="1" t="s">
        <v>31</v>
      </c>
      <c r="I55" s="1" t="str">
        <f t="shared" si="0"/>
        <v>Pagado</v>
      </c>
    </row>
    <row r="56" spans="1:9" hidden="1">
      <c r="A56" s="2">
        <v>23467</v>
      </c>
      <c r="B56" s="2">
        <v>14</v>
      </c>
      <c r="C56" s="8">
        <v>1788115.15</v>
      </c>
      <c r="D56" s="8">
        <v>15422225.810000001</v>
      </c>
      <c r="E56" s="8">
        <v>1850667.1</v>
      </c>
      <c r="F56" s="8">
        <v>19061008.059999999</v>
      </c>
      <c r="G56" s="7">
        <v>45949</v>
      </c>
      <c r="H56" s="1" t="s">
        <v>31</v>
      </c>
      <c r="I56" s="1" t="str">
        <f t="shared" si="0"/>
        <v>Pagado</v>
      </c>
    </row>
    <row r="57" spans="1:9" hidden="1">
      <c r="A57" s="9">
        <v>863502400</v>
      </c>
      <c r="B57" s="9">
        <v>2</v>
      </c>
      <c r="C57" s="13">
        <v>1963573.89</v>
      </c>
      <c r="D57" s="13">
        <v>8058013.3399999999</v>
      </c>
      <c r="E57" s="13">
        <v>966961.6</v>
      </c>
      <c r="F57" s="13">
        <v>10988548.83</v>
      </c>
      <c r="G57" s="11">
        <v>45705</v>
      </c>
      <c r="H57" s="10" t="s">
        <v>24</v>
      </c>
      <c r="I57" s="1" t="str">
        <f t="shared" si="0"/>
        <v>Pagado</v>
      </c>
    </row>
    <row r="58" spans="1:9" hidden="1">
      <c r="A58" s="2">
        <v>394949</v>
      </c>
      <c r="B58" s="2">
        <v>10</v>
      </c>
      <c r="C58" s="8">
        <v>843954.57</v>
      </c>
      <c r="D58" s="8">
        <v>4062362.72</v>
      </c>
      <c r="E58" s="8">
        <v>487483.52</v>
      </c>
      <c r="F58" s="8">
        <v>5393800.8099999996</v>
      </c>
      <c r="G58" s="7">
        <v>45956</v>
      </c>
      <c r="H58" s="1" t="s">
        <v>30</v>
      </c>
      <c r="I58" s="1" t="str">
        <f t="shared" si="0"/>
        <v>Pagado</v>
      </c>
    </row>
    <row r="59" spans="1:9" hidden="1">
      <c r="A59" s="9">
        <v>347916</v>
      </c>
      <c r="B59" s="9">
        <v>2</v>
      </c>
      <c r="C59" s="13">
        <v>1741505.4030452631</v>
      </c>
      <c r="D59" s="13">
        <v>6711678.3652141634</v>
      </c>
      <c r="E59" s="13">
        <v>805401.40382569958</v>
      </c>
      <c r="F59" s="13">
        <v>9258585.1720851269</v>
      </c>
      <c r="G59" s="11">
        <v>45531</v>
      </c>
      <c r="H59" s="10" t="s">
        <v>30</v>
      </c>
      <c r="I59" s="1" t="str">
        <f t="shared" si="0"/>
        <v>Pagado</v>
      </c>
    </row>
    <row r="60" spans="1:9" hidden="1">
      <c r="A60" s="9">
        <v>2537844</v>
      </c>
      <c r="B60" s="9">
        <v>2</v>
      </c>
      <c r="C60" s="13">
        <v>2500000</v>
      </c>
      <c r="D60" s="13">
        <v>5679166.666666667</v>
      </c>
      <c r="E60" s="13">
        <v>681500</v>
      </c>
      <c r="F60" s="13">
        <v>8860666.6666666679</v>
      </c>
      <c r="G60" s="11">
        <v>45439</v>
      </c>
      <c r="H60" s="10" t="s">
        <v>29</v>
      </c>
      <c r="I60" s="1" t="str">
        <f t="shared" si="0"/>
        <v>Pagado</v>
      </c>
    </row>
    <row r="61" spans="1:9" hidden="1">
      <c r="A61" s="2">
        <v>885417400</v>
      </c>
      <c r="B61" s="2">
        <v>7</v>
      </c>
      <c r="C61" s="8">
        <v>27777777.777777776</v>
      </c>
      <c r="D61" s="8">
        <v>19388842.670000002</v>
      </c>
      <c r="E61" s="8">
        <v>2326661.1200000001</v>
      </c>
      <c r="F61" s="8">
        <v>49493281.57</v>
      </c>
      <c r="G61" s="7">
        <v>45955</v>
      </c>
      <c r="H61" s="1" t="s">
        <v>24</v>
      </c>
      <c r="I61" s="1" t="str">
        <f t="shared" si="0"/>
        <v>Pagado</v>
      </c>
    </row>
    <row r="62" spans="1:9" hidden="1">
      <c r="A62" s="9">
        <v>31295</v>
      </c>
      <c r="B62" s="9">
        <v>2</v>
      </c>
      <c r="C62" s="13"/>
      <c r="D62" s="13">
        <v>5390000</v>
      </c>
      <c r="E62" s="13">
        <v>646800</v>
      </c>
      <c r="F62" s="13">
        <f>+D62+E62</f>
        <v>6036800</v>
      </c>
      <c r="G62" s="11">
        <v>45715</v>
      </c>
      <c r="H62" s="10" t="s">
        <v>35</v>
      </c>
      <c r="I62" s="1" t="str">
        <f t="shared" si="0"/>
        <v>Pagado</v>
      </c>
    </row>
    <row r="63" spans="1:9" hidden="1">
      <c r="A63" s="2">
        <v>885417900</v>
      </c>
      <c r="B63" s="2">
        <v>7</v>
      </c>
      <c r="C63" s="8">
        <v>27777777.777777776</v>
      </c>
      <c r="D63" s="8">
        <v>19388842.670000002</v>
      </c>
      <c r="E63" s="8">
        <v>2326661.1200000001</v>
      </c>
      <c r="F63" s="8">
        <v>49493281.57</v>
      </c>
      <c r="G63" s="7">
        <v>45958</v>
      </c>
      <c r="H63" s="1" t="s">
        <v>24</v>
      </c>
      <c r="I63" s="1" t="str">
        <f t="shared" si="0"/>
        <v>Pagado</v>
      </c>
    </row>
    <row r="64" spans="1:9" hidden="1">
      <c r="A64" s="2">
        <v>20466</v>
      </c>
      <c r="B64" s="2">
        <v>38</v>
      </c>
      <c r="C64" s="8">
        <v>484089.6830868806</v>
      </c>
      <c r="D64" s="8">
        <v>878072.10069990519</v>
      </c>
      <c r="E64" s="8">
        <f>+D64*0.12</f>
        <v>105368.65208398862</v>
      </c>
      <c r="F64" s="8">
        <f>+C64+D64+E64</f>
        <v>1467530.4358707743</v>
      </c>
      <c r="G64" s="7">
        <v>45961</v>
      </c>
      <c r="H64" s="1" t="s">
        <v>31</v>
      </c>
      <c r="I64" s="1" t="str">
        <f t="shared" si="0"/>
        <v>Pagado</v>
      </c>
    </row>
    <row r="65" spans="1:10" hidden="1">
      <c r="A65" s="9">
        <v>66235635</v>
      </c>
      <c r="B65" s="9">
        <v>3</v>
      </c>
      <c r="C65" s="13">
        <v>0</v>
      </c>
      <c r="D65" s="13">
        <v>7808219.1799999997</v>
      </c>
      <c r="E65" s="13">
        <v>936986.30000000075</v>
      </c>
      <c r="F65" s="13">
        <v>8745205.4800000004</v>
      </c>
      <c r="G65" s="11">
        <v>45567</v>
      </c>
      <c r="H65" s="10" t="s">
        <v>26</v>
      </c>
      <c r="I65" s="1" t="str">
        <f t="shared" si="0"/>
        <v>Pagado</v>
      </c>
    </row>
    <row r="66" spans="1:10" hidden="1">
      <c r="A66" s="2">
        <v>22044</v>
      </c>
      <c r="B66" s="2">
        <v>27</v>
      </c>
      <c r="C66" s="8">
        <v>701403.64252984058</v>
      </c>
      <c r="D66" s="8">
        <v>2030594.2083174074</v>
      </c>
      <c r="E66" s="8">
        <v>243671.30499808889</v>
      </c>
      <c r="F66" s="8">
        <v>2975669.1558453371</v>
      </c>
      <c r="G66" s="7">
        <v>45963</v>
      </c>
      <c r="H66" s="1" t="s">
        <v>31</v>
      </c>
      <c r="I66" s="1" t="str">
        <f t="shared" si="0"/>
        <v>Pagado</v>
      </c>
    </row>
    <row r="67" spans="1:10" hidden="1">
      <c r="A67" s="9">
        <v>119980</v>
      </c>
      <c r="B67" s="9">
        <v>3</v>
      </c>
      <c r="C67" s="13">
        <v>0</v>
      </c>
      <c r="D67" s="13">
        <v>17288767.120000001</v>
      </c>
      <c r="E67" s="13">
        <f>+F67-D67-C67</f>
        <v>2074652.0599999987</v>
      </c>
      <c r="F67" s="13">
        <v>19363419.18</v>
      </c>
      <c r="G67" s="11">
        <v>45692</v>
      </c>
      <c r="H67" s="10" t="s">
        <v>26</v>
      </c>
      <c r="I67" s="1" t="str">
        <f t="shared" ref="I67:I130" si="1">IF(G67&lt;=$K$1,"Pagado","Pendiente")</f>
        <v>Pagado</v>
      </c>
    </row>
    <row r="68" spans="1:10" hidden="1">
      <c r="A68" s="2">
        <v>23700</v>
      </c>
      <c r="B68" s="2">
        <v>9</v>
      </c>
      <c r="C68" s="8">
        <v>10111002.630000001</v>
      </c>
      <c r="D68" s="8">
        <v>12510894.6</v>
      </c>
      <c r="E68" s="8">
        <v>1501307.35</v>
      </c>
      <c r="F68" s="8">
        <v>24123204.580000002</v>
      </c>
      <c r="G68" s="7">
        <v>45968</v>
      </c>
      <c r="H68" s="1" t="s">
        <v>31</v>
      </c>
      <c r="I68" s="1" t="str">
        <f t="shared" si="1"/>
        <v>Pagado</v>
      </c>
    </row>
    <row r="69" spans="1:10" hidden="1">
      <c r="A69" s="9">
        <v>30065708</v>
      </c>
      <c r="B69" s="9">
        <v>3</v>
      </c>
      <c r="C69" s="13">
        <v>12916666.66</v>
      </c>
      <c r="D69" s="13">
        <v>3821917.81</v>
      </c>
      <c r="E69" s="13">
        <f>+F69-D69-C69</f>
        <v>220821.91999999993</v>
      </c>
      <c r="F69" s="13">
        <v>16959406.390000001</v>
      </c>
      <c r="G69" s="11">
        <v>45702</v>
      </c>
      <c r="H69" s="10" t="s">
        <v>27</v>
      </c>
      <c r="I69" s="1" t="str">
        <f t="shared" si="1"/>
        <v>Pagado</v>
      </c>
      <c r="J69" s="15" t="s">
        <v>129</v>
      </c>
    </row>
    <row r="70" spans="1:10" hidden="1">
      <c r="A70" s="2">
        <v>20828</v>
      </c>
      <c r="B70" s="2">
        <v>35</v>
      </c>
      <c r="C70" s="8">
        <v>580115.81571952486</v>
      </c>
      <c r="D70" s="8">
        <v>1203614.709884648</v>
      </c>
      <c r="E70" s="8">
        <f>+D70*0.105</f>
        <v>126379.54453788804</v>
      </c>
      <c r="F70" s="8">
        <f>+C70+D70+E70</f>
        <v>1910110.070142061</v>
      </c>
      <c r="G70" s="7">
        <v>45973</v>
      </c>
      <c r="H70" s="1" t="s">
        <v>31</v>
      </c>
      <c r="I70" s="1" t="str">
        <f t="shared" si="1"/>
        <v>Pagado</v>
      </c>
    </row>
    <row r="71" spans="1:10" hidden="1">
      <c r="A71" s="2">
        <v>23996</v>
      </c>
      <c r="B71" s="2">
        <v>4</v>
      </c>
      <c r="C71" s="8">
        <v>0</v>
      </c>
      <c r="D71" s="8">
        <v>9416095.8000000007</v>
      </c>
      <c r="E71" s="8">
        <v>1130873.1100000001</v>
      </c>
      <c r="F71" s="8">
        <f>+C71+D71+E71</f>
        <v>10546968.91</v>
      </c>
      <c r="G71" s="7">
        <v>45974</v>
      </c>
      <c r="H71" s="1" t="s">
        <v>31</v>
      </c>
      <c r="I71" s="1" t="str">
        <f t="shared" si="1"/>
        <v>Pagado</v>
      </c>
    </row>
    <row r="72" spans="1:10" hidden="1">
      <c r="A72" s="9">
        <v>28343183</v>
      </c>
      <c r="B72" s="9">
        <v>3</v>
      </c>
      <c r="C72" s="13">
        <v>11111111.109999999</v>
      </c>
      <c r="D72" s="13">
        <v>5132420.09</v>
      </c>
      <c r="E72" s="13">
        <v>615890.24000000209</v>
      </c>
      <c r="F72" s="13">
        <v>16859421.440000001</v>
      </c>
      <c r="G72" s="11">
        <v>45612</v>
      </c>
      <c r="H72" s="10" t="s">
        <v>27</v>
      </c>
      <c r="I72" s="1" t="str">
        <f t="shared" si="1"/>
        <v>Pagado</v>
      </c>
    </row>
    <row r="73" spans="1:10" hidden="1">
      <c r="A73" s="9">
        <v>927328</v>
      </c>
      <c r="B73" s="9">
        <v>3</v>
      </c>
      <c r="C73" s="13">
        <v>3370140.2370486092</v>
      </c>
      <c r="D73" s="13">
        <v>10676879.406417312</v>
      </c>
      <c r="E73" s="13">
        <v>1281225.5287700775</v>
      </c>
      <c r="F73" s="13">
        <v>15328245.172235999</v>
      </c>
      <c r="G73" s="11">
        <v>45674</v>
      </c>
      <c r="H73" s="10" t="s">
        <v>32</v>
      </c>
      <c r="I73" s="1" t="str">
        <f t="shared" si="1"/>
        <v>Pagado</v>
      </c>
    </row>
    <row r="74" spans="1:10" hidden="1">
      <c r="A74" s="9">
        <v>75472831</v>
      </c>
      <c r="B74" s="9">
        <v>3</v>
      </c>
      <c r="C74" s="13">
        <v>0</v>
      </c>
      <c r="D74" s="13">
        <v>2717808.22</v>
      </c>
      <c r="E74" s="13">
        <f>+F74-D74-C74</f>
        <v>326136.98</v>
      </c>
      <c r="F74" s="13">
        <v>3043945.2</v>
      </c>
      <c r="G74" s="11">
        <v>45674</v>
      </c>
      <c r="H74" s="10" t="s">
        <v>26</v>
      </c>
      <c r="I74" s="1" t="str">
        <f t="shared" si="1"/>
        <v>Pagado</v>
      </c>
    </row>
    <row r="75" spans="1:10" hidden="1">
      <c r="A75" s="9">
        <v>863502400</v>
      </c>
      <c r="B75" s="9">
        <v>3</v>
      </c>
      <c r="C75" s="13">
        <v>2018445.96</v>
      </c>
      <c r="D75" s="13">
        <v>8003141.2699999996</v>
      </c>
      <c r="E75" s="13">
        <v>960376.95</v>
      </c>
      <c r="F75" s="13">
        <v>10981964.18</v>
      </c>
      <c r="G75" s="11">
        <v>45733</v>
      </c>
      <c r="H75" s="10" t="s">
        <v>24</v>
      </c>
      <c r="I75" s="1" t="str">
        <f t="shared" si="1"/>
        <v>Pagado</v>
      </c>
    </row>
    <row r="76" spans="1:10" hidden="1">
      <c r="A76" s="2">
        <v>863502600</v>
      </c>
      <c r="B76" s="2">
        <v>11</v>
      </c>
      <c r="C76" s="8">
        <v>1301575.6499999999</v>
      </c>
      <c r="D76" s="8">
        <v>3882003.95</v>
      </c>
      <c r="E76" s="8">
        <v>465840.47</v>
      </c>
      <c r="F76" s="8">
        <v>5649420.0700000003</v>
      </c>
      <c r="G76" s="7">
        <v>45978</v>
      </c>
      <c r="H76" s="1" t="s">
        <v>24</v>
      </c>
      <c r="I76" s="1" t="str">
        <f t="shared" si="1"/>
        <v>Pagado</v>
      </c>
    </row>
    <row r="77" spans="1:10" hidden="1">
      <c r="A77" s="2">
        <v>23790</v>
      </c>
      <c r="B77" s="2">
        <v>8</v>
      </c>
      <c r="C77" s="8">
        <v>9758572.1816531587</v>
      </c>
      <c r="D77" s="8">
        <v>13036661.913012201</v>
      </c>
      <c r="E77" s="8">
        <v>1564399.4295614641</v>
      </c>
      <c r="F77" s="8">
        <v>24359633.524226822</v>
      </c>
      <c r="G77" s="7">
        <v>45978</v>
      </c>
      <c r="H77" s="1" t="s">
        <v>31</v>
      </c>
      <c r="I77" s="1" t="str">
        <f t="shared" si="1"/>
        <v>Pagado</v>
      </c>
    </row>
    <row r="78" spans="1:10" hidden="1">
      <c r="A78" s="2">
        <v>24004</v>
      </c>
      <c r="B78" s="2">
        <v>4</v>
      </c>
      <c r="C78" s="8">
        <v>878053.55</v>
      </c>
      <c r="D78" s="8">
        <v>4896456.0199999996</v>
      </c>
      <c r="E78" s="8">
        <v>588064.37</v>
      </c>
      <c r="F78" s="8">
        <v>6362573.9400000004</v>
      </c>
      <c r="G78" s="7">
        <v>45978</v>
      </c>
      <c r="H78" s="1" t="s">
        <v>31</v>
      </c>
      <c r="I78" s="1" t="str">
        <f t="shared" si="1"/>
        <v>Pagado</v>
      </c>
    </row>
    <row r="79" spans="1:10" hidden="1">
      <c r="A79" s="9">
        <v>65210751</v>
      </c>
      <c r="B79" s="9">
        <v>3</v>
      </c>
      <c r="C79" s="13">
        <v>0</v>
      </c>
      <c r="D79" s="13">
        <v>8835616.4399999995</v>
      </c>
      <c r="E79" s="13">
        <v>1060273.9800000004</v>
      </c>
      <c r="F79" s="13">
        <v>9895890.4199999999</v>
      </c>
      <c r="G79" s="11">
        <v>45553</v>
      </c>
      <c r="H79" s="10" t="s">
        <v>26</v>
      </c>
      <c r="I79" s="1" t="str">
        <f t="shared" si="1"/>
        <v>Pagado</v>
      </c>
    </row>
    <row r="80" spans="1:10" hidden="1">
      <c r="A80" s="2">
        <v>23430</v>
      </c>
      <c r="B80" s="2">
        <v>16</v>
      </c>
      <c r="C80" s="8">
        <v>492507.33</v>
      </c>
      <c r="D80" s="8">
        <v>4096916.92</v>
      </c>
      <c r="E80" s="8">
        <v>491630.03</v>
      </c>
      <c r="F80" s="8">
        <v>5081054.28</v>
      </c>
      <c r="G80" s="7">
        <v>45980</v>
      </c>
      <c r="H80" s="1" t="s">
        <v>31</v>
      </c>
      <c r="I80" s="1" t="str">
        <f t="shared" si="1"/>
        <v>Pagado</v>
      </c>
    </row>
    <row r="81" spans="1:9" hidden="1">
      <c r="A81" s="2">
        <v>23467</v>
      </c>
      <c r="B81" s="2">
        <v>15</v>
      </c>
      <c r="C81" s="8">
        <v>1846902.5</v>
      </c>
      <c r="D81" s="8">
        <v>15363438.460000001</v>
      </c>
      <c r="E81" s="8">
        <v>1843612.62</v>
      </c>
      <c r="F81" s="8">
        <v>19053953.580000002</v>
      </c>
      <c r="G81" s="7">
        <v>45980</v>
      </c>
      <c r="H81" s="1" t="s">
        <v>31</v>
      </c>
      <c r="I81" s="1" t="str">
        <f t="shared" si="1"/>
        <v>Pagado</v>
      </c>
    </row>
    <row r="82" spans="1:9" hidden="1">
      <c r="A82" s="2">
        <v>885417400</v>
      </c>
      <c r="B82" s="2">
        <v>8</v>
      </c>
      <c r="C82" s="8">
        <v>27777777.777777776</v>
      </c>
      <c r="D82" s="8">
        <v>9339814.8148148116</v>
      </c>
      <c r="E82" s="8">
        <v>1120777.7777777773</v>
      </c>
      <c r="F82" s="8">
        <v>38238370.370370366</v>
      </c>
      <c r="G82" s="7">
        <v>45986</v>
      </c>
      <c r="H82" s="1" t="s">
        <v>24</v>
      </c>
      <c r="I82" s="1" t="str">
        <f t="shared" si="1"/>
        <v>Pagado</v>
      </c>
    </row>
    <row r="83" spans="1:9" hidden="1">
      <c r="A83" s="2">
        <v>394949</v>
      </c>
      <c r="B83" s="2">
        <v>11</v>
      </c>
      <c r="C83" s="8">
        <v>867866.61</v>
      </c>
      <c r="D83" s="8">
        <v>4038450.68</v>
      </c>
      <c r="E83" s="8">
        <v>484614.08</v>
      </c>
      <c r="F83" s="8">
        <v>5390931.3700000001</v>
      </c>
      <c r="G83" s="7">
        <v>45987</v>
      </c>
      <c r="H83" s="1" t="s">
        <v>30</v>
      </c>
      <c r="I83" s="1" t="str">
        <f t="shared" si="1"/>
        <v>Pagado</v>
      </c>
    </row>
    <row r="84" spans="1:9" hidden="1">
      <c r="A84" s="9">
        <v>347916</v>
      </c>
      <c r="B84" s="9">
        <v>3</v>
      </c>
      <c r="C84" s="13">
        <v>1780689.2746137809</v>
      </c>
      <c r="D84" s="13">
        <v>6672494.4936456457</v>
      </c>
      <c r="E84" s="13">
        <v>800699.33923747751</v>
      </c>
      <c r="F84" s="13">
        <v>9253883.1074969042</v>
      </c>
      <c r="G84" s="11">
        <v>45562</v>
      </c>
      <c r="H84" s="10" t="s">
        <v>30</v>
      </c>
      <c r="I84" s="1" t="str">
        <f t="shared" si="1"/>
        <v>Pagado</v>
      </c>
    </row>
    <row r="85" spans="1:9" s="1" customFormat="1" hidden="1">
      <c r="A85" s="9">
        <v>23467</v>
      </c>
      <c r="B85" s="9">
        <v>1</v>
      </c>
      <c r="C85" s="13">
        <v>0</v>
      </c>
      <c r="D85" s="13">
        <v>8802739.7300000004</v>
      </c>
      <c r="E85" s="13">
        <v>1056328.77</v>
      </c>
      <c r="F85" s="13">
        <v>9859068.5</v>
      </c>
      <c r="G85" s="11">
        <v>45554</v>
      </c>
      <c r="H85" s="10" t="s">
        <v>31</v>
      </c>
      <c r="I85" s="1" t="str">
        <f t="shared" si="1"/>
        <v>Pagado</v>
      </c>
    </row>
    <row r="86" spans="1:9" s="1" customFormat="1" hidden="1">
      <c r="A86" s="9">
        <v>23467</v>
      </c>
      <c r="B86" s="9">
        <v>2</v>
      </c>
      <c r="C86" s="13">
        <v>0</v>
      </c>
      <c r="D86" s="13">
        <v>15534246.42</v>
      </c>
      <c r="E86" s="13">
        <v>1864109.57</v>
      </c>
      <c r="F86" s="13">
        <v>17398355.989999998</v>
      </c>
      <c r="G86" s="11">
        <v>45584</v>
      </c>
      <c r="H86" s="10" t="s">
        <v>31</v>
      </c>
      <c r="I86" s="1" t="str">
        <f t="shared" si="1"/>
        <v>Pagado</v>
      </c>
    </row>
    <row r="87" spans="1:9" s="10" customFormat="1" hidden="1">
      <c r="A87" s="9">
        <v>23467</v>
      </c>
      <c r="B87" s="9">
        <v>3</v>
      </c>
      <c r="C87" s="13">
        <v>0</v>
      </c>
      <c r="D87" s="13">
        <v>15534246.42</v>
      </c>
      <c r="E87" s="13">
        <v>1864109.57</v>
      </c>
      <c r="F87" s="13">
        <v>17398355.989999998</v>
      </c>
      <c r="G87" s="11">
        <v>45615</v>
      </c>
      <c r="H87" s="10" t="s">
        <v>31</v>
      </c>
      <c r="I87" s="1" t="str">
        <f t="shared" si="1"/>
        <v>Pagado</v>
      </c>
    </row>
    <row r="88" spans="1:9" s="10" customFormat="1" hidden="1">
      <c r="A88" s="9">
        <v>23467</v>
      </c>
      <c r="B88" s="9">
        <v>4</v>
      </c>
      <c r="C88" s="13">
        <v>0</v>
      </c>
      <c r="D88" s="13">
        <v>15534246.42</v>
      </c>
      <c r="E88" s="13">
        <v>1864109.57</v>
      </c>
      <c r="F88" s="13">
        <v>17398355.989999998</v>
      </c>
      <c r="G88" s="11">
        <v>45645</v>
      </c>
      <c r="H88" s="10" t="s">
        <v>31</v>
      </c>
      <c r="I88" s="1" t="str">
        <f t="shared" si="1"/>
        <v>Pagado</v>
      </c>
    </row>
    <row r="89" spans="1:9" s="10" customFormat="1" hidden="1">
      <c r="A89" s="9">
        <v>23467</v>
      </c>
      <c r="B89" s="9">
        <v>5</v>
      </c>
      <c r="C89" s="13">
        <v>0</v>
      </c>
      <c r="D89" s="13">
        <v>15534246.42</v>
      </c>
      <c r="E89" s="13">
        <v>1864109.57</v>
      </c>
      <c r="F89" s="13">
        <v>17398355.989999998</v>
      </c>
      <c r="G89" s="11">
        <v>45676</v>
      </c>
      <c r="H89" s="10" t="s">
        <v>31</v>
      </c>
      <c r="I89" s="1" t="str">
        <f t="shared" si="1"/>
        <v>Pagado</v>
      </c>
    </row>
    <row r="90" spans="1:9" s="10" customFormat="1" hidden="1">
      <c r="A90" s="9">
        <v>23467</v>
      </c>
      <c r="B90" s="9">
        <v>6</v>
      </c>
      <c r="C90" s="13">
        <v>0</v>
      </c>
      <c r="D90" s="13">
        <v>13562135.369999999</v>
      </c>
      <c r="E90" s="13">
        <f>+D90*0.12</f>
        <v>1627456.2443999997</v>
      </c>
      <c r="F90" s="13">
        <f>+D90+E90</f>
        <v>15189591.614399999</v>
      </c>
      <c r="G90" s="11">
        <v>45707</v>
      </c>
      <c r="H90" s="10" t="s">
        <v>31</v>
      </c>
      <c r="I90" s="1" t="str">
        <f t="shared" si="1"/>
        <v>Pagado</v>
      </c>
    </row>
    <row r="91" spans="1:9" s="10" customFormat="1" hidden="1">
      <c r="A91" s="9">
        <v>23467</v>
      </c>
      <c r="B91" s="9">
        <v>7</v>
      </c>
      <c r="C91" s="13">
        <v>0</v>
      </c>
      <c r="D91" s="13">
        <v>12507748.310000001</v>
      </c>
      <c r="E91" s="13">
        <f>+D91*0.12</f>
        <v>1500929.7971999999</v>
      </c>
      <c r="F91" s="13">
        <f>+D91+E91</f>
        <v>14008678.1072</v>
      </c>
      <c r="G91" s="11">
        <v>45735</v>
      </c>
      <c r="H91" s="10" t="s">
        <v>31</v>
      </c>
      <c r="I91" s="1" t="str">
        <f t="shared" si="1"/>
        <v>Pagado</v>
      </c>
    </row>
    <row r="92" spans="1:9" hidden="1">
      <c r="A92" s="2">
        <v>23467</v>
      </c>
      <c r="B92" s="2">
        <v>8</v>
      </c>
      <c r="C92" s="8">
        <v>0</v>
      </c>
      <c r="D92" s="8">
        <v>15534246.42</v>
      </c>
      <c r="E92" s="8">
        <v>1864109.57</v>
      </c>
      <c r="F92" s="8">
        <v>17398355.989999998</v>
      </c>
      <c r="G92" s="7">
        <v>45766</v>
      </c>
      <c r="H92" s="1" t="s">
        <v>31</v>
      </c>
      <c r="I92" s="1" t="str">
        <f t="shared" si="1"/>
        <v>Pagado</v>
      </c>
    </row>
    <row r="93" spans="1:9" s="10" customFormat="1" hidden="1">
      <c r="A93" s="9">
        <v>23467</v>
      </c>
      <c r="B93" s="9">
        <v>9</v>
      </c>
      <c r="C93" s="13">
        <v>0</v>
      </c>
      <c r="D93" s="13">
        <v>15534246.42</v>
      </c>
      <c r="E93" s="13">
        <v>1864109.57</v>
      </c>
      <c r="F93" s="13">
        <v>17398355.989999998</v>
      </c>
      <c r="G93" s="11">
        <v>45796</v>
      </c>
      <c r="H93" s="10" t="s">
        <v>31</v>
      </c>
      <c r="I93" s="1" t="str">
        <f t="shared" si="1"/>
        <v>Pagado</v>
      </c>
    </row>
    <row r="94" spans="1:9" hidden="1">
      <c r="A94" s="2">
        <v>23467</v>
      </c>
      <c r="B94" s="2">
        <v>10</v>
      </c>
      <c r="C94" s="8">
        <v>0</v>
      </c>
      <c r="D94" s="8">
        <v>15534246.42</v>
      </c>
      <c r="E94" s="8">
        <v>1864109.57</v>
      </c>
      <c r="F94" s="8">
        <v>17398355.989999998</v>
      </c>
      <c r="G94" s="7">
        <v>45827</v>
      </c>
      <c r="H94" s="1" t="s">
        <v>31</v>
      </c>
      <c r="I94" s="1" t="str">
        <f t="shared" si="1"/>
        <v>Pagado</v>
      </c>
    </row>
    <row r="95" spans="1:9" hidden="1">
      <c r="A95" s="2">
        <v>23467</v>
      </c>
      <c r="B95" s="2">
        <v>11</v>
      </c>
      <c r="C95" s="8">
        <v>0</v>
      </c>
      <c r="D95" s="8">
        <v>15534246.42</v>
      </c>
      <c r="E95" s="8">
        <v>1864109.57</v>
      </c>
      <c r="F95" s="8">
        <v>17398355.989999998</v>
      </c>
      <c r="G95" s="7">
        <v>45857</v>
      </c>
      <c r="H95" s="1" t="s">
        <v>31</v>
      </c>
      <c r="I95" s="1" t="str">
        <f t="shared" si="1"/>
        <v>Pagado</v>
      </c>
    </row>
    <row r="96" spans="1:9" hidden="1">
      <c r="A96" s="2">
        <v>23467</v>
      </c>
      <c r="B96" s="2">
        <v>12</v>
      </c>
      <c r="C96" s="8">
        <v>1676094.54</v>
      </c>
      <c r="D96" s="8">
        <v>15534246.42</v>
      </c>
      <c r="E96" s="8">
        <v>1864109.57</v>
      </c>
      <c r="F96" s="8">
        <v>19074450.529999997</v>
      </c>
      <c r="G96" s="7">
        <v>45888</v>
      </c>
      <c r="H96" s="1" t="s">
        <v>31</v>
      </c>
      <c r="I96" s="1" t="str">
        <f t="shared" si="1"/>
        <v>Pagado</v>
      </c>
    </row>
    <row r="97" spans="1:10" hidden="1">
      <c r="A97" s="9">
        <v>2537844</v>
      </c>
      <c r="B97" s="9">
        <v>3</v>
      </c>
      <c r="C97" s="13">
        <v>2500000</v>
      </c>
      <c r="D97" s="13">
        <v>5558333.333333333</v>
      </c>
      <c r="E97" s="13">
        <v>667000</v>
      </c>
      <c r="F97" s="13">
        <v>8725333.3333333321</v>
      </c>
      <c r="G97" s="11">
        <v>45470</v>
      </c>
      <c r="H97" s="10" t="s">
        <v>29</v>
      </c>
      <c r="I97" s="1" t="str">
        <f t="shared" si="1"/>
        <v>Pagado</v>
      </c>
    </row>
    <row r="98" spans="1:10" hidden="1">
      <c r="A98" s="9">
        <v>843950300</v>
      </c>
      <c r="B98" s="9">
        <v>3</v>
      </c>
      <c r="C98" s="13">
        <v>1572056.25</v>
      </c>
      <c r="D98" s="13">
        <v>6203313.1500000004</v>
      </c>
      <c r="E98" s="13">
        <f>+F98-D98-C98</f>
        <v>744397.58000000007</v>
      </c>
      <c r="F98" s="13">
        <v>8519766.9800000004</v>
      </c>
      <c r="G98" s="11">
        <v>45653</v>
      </c>
      <c r="H98" s="10" t="s">
        <v>24</v>
      </c>
      <c r="I98" s="1" t="str">
        <f t="shared" si="1"/>
        <v>Pagado</v>
      </c>
      <c r="J98" s="10"/>
    </row>
    <row r="99" spans="1:10" hidden="1">
      <c r="A99" s="9">
        <v>31295</v>
      </c>
      <c r="B99" s="9">
        <v>3</v>
      </c>
      <c r="C99" s="13"/>
      <c r="D99" s="13">
        <v>5390000</v>
      </c>
      <c r="E99" s="13">
        <v>646800</v>
      </c>
      <c r="F99" s="13">
        <f>+D99+E99</f>
        <v>6036800</v>
      </c>
      <c r="G99" s="11">
        <v>45743</v>
      </c>
      <c r="H99" s="10" t="s">
        <v>35</v>
      </c>
      <c r="I99" s="1" t="str">
        <f t="shared" si="1"/>
        <v>Pagado</v>
      </c>
    </row>
    <row r="100" spans="1:10" hidden="1">
      <c r="A100" s="2">
        <v>885417900</v>
      </c>
      <c r="B100" s="2">
        <v>8</v>
      </c>
      <c r="C100" s="8">
        <v>27777777.777777776</v>
      </c>
      <c r="D100" s="8">
        <v>9339814.8148148116</v>
      </c>
      <c r="E100" s="8">
        <v>1120777.7777777773</v>
      </c>
      <c r="F100" s="8">
        <v>38238370.370370366</v>
      </c>
      <c r="G100" s="7">
        <v>45989</v>
      </c>
      <c r="H100" s="1" t="s">
        <v>24</v>
      </c>
      <c r="I100" s="1" t="str">
        <f t="shared" si="1"/>
        <v>Pagado</v>
      </c>
    </row>
    <row r="101" spans="1:10" hidden="1">
      <c r="A101" s="2">
        <v>20466</v>
      </c>
      <c r="B101" s="2">
        <v>39</v>
      </c>
      <c r="C101" s="8">
        <v>498612.37357948697</v>
      </c>
      <c r="D101" s="8">
        <v>863549.41020729882</v>
      </c>
      <c r="E101" s="8">
        <f>+D101*0.12</f>
        <v>103625.92922487586</v>
      </c>
      <c r="F101" s="8">
        <f>+C101+D101+E101</f>
        <v>1465787.7130116615</v>
      </c>
      <c r="G101" s="7">
        <v>45991</v>
      </c>
      <c r="H101" s="1" t="s">
        <v>31</v>
      </c>
      <c r="I101" s="1" t="str">
        <f t="shared" si="1"/>
        <v>Pagado</v>
      </c>
    </row>
    <row r="102" spans="1:10" hidden="1">
      <c r="A102" s="9">
        <v>66235635</v>
      </c>
      <c r="B102" s="9">
        <v>4</v>
      </c>
      <c r="C102" s="13">
        <v>0</v>
      </c>
      <c r="D102" s="13">
        <v>8589041.0999999996</v>
      </c>
      <c r="E102" s="13">
        <v>1030684.9399999995</v>
      </c>
      <c r="F102" s="13">
        <v>9619726.0399999991</v>
      </c>
      <c r="G102" s="11">
        <v>45598</v>
      </c>
      <c r="H102" s="10" t="s">
        <v>26</v>
      </c>
      <c r="I102" s="1" t="str">
        <f t="shared" si="1"/>
        <v>Pagado</v>
      </c>
    </row>
    <row r="103" spans="1:10" hidden="1">
      <c r="A103" s="2">
        <v>24214</v>
      </c>
      <c r="B103" s="2">
        <v>2</v>
      </c>
      <c r="C103" s="27">
        <v>0</v>
      </c>
      <c r="D103" s="27">
        <v>9246575.3399999999</v>
      </c>
      <c r="E103" s="27">
        <v>1110513.7</v>
      </c>
      <c r="F103" s="25">
        <v>10357089.039999999</v>
      </c>
      <c r="G103" s="6">
        <v>46009</v>
      </c>
      <c r="H103" s="1" t="s">
        <v>31</v>
      </c>
      <c r="I103" s="1" t="str">
        <f t="shared" si="1"/>
        <v>Pagado</v>
      </c>
    </row>
    <row r="104" spans="1:10" hidden="1">
      <c r="A104" s="9">
        <v>119980</v>
      </c>
      <c r="B104" s="9">
        <v>4</v>
      </c>
      <c r="C104" s="13">
        <v>0</v>
      </c>
      <c r="D104" s="13">
        <v>17288767.120000001</v>
      </c>
      <c r="E104" s="13">
        <f>+D104*0.12</f>
        <v>2074652.0544</v>
      </c>
      <c r="F104" s="13">
        <v>19363419.18</v>
      </c>
      <c r="G104" s="11">
        <v>45720</v>
      </c>
      <c r="H104" s="10" t="s">
        <v>26</v>
      </c>
      <c r="I104" s="1" t="str">
        <f t="shared" si="1"/>
        <v>Pagado</v>
      </c>
    </row>
    <row r="105" spans="1:10" hidden="1">
      <c r="A105" s="2">
        <v>24132</v>
      </c>
      <c r="B105">
        <v>3</v>
      </c>
      <c r="C105" s="27">
        <v>0</v>
      </c>
      <c r="D105" s="27">
        <v>7055136.9000000004</v>
      </c>
      <c r="E105" s="27">
        <v>847321.93</v>
      </c>
      <c r="F105" s="25">
        <v>7902458.8300000001</v>
      </c>
      <c r="G105" s="6">
        <v>46000</v>
      </c>
      <c r="H105" s="1" t="s">
        <v>31</v>
      </c>
      <c r="I105" s="1" t="str">
        <f t="shared" si="1"/>
        <v>Pagado</v>
      </c>
    </row>
    <row r="106" spans="1:10" hidden="1">
      <c r="B106" s="2">
        <v>5</v>
      </c>
      <c r="C106" s="8">
        <v>0</v>
      </c>
      <c r="D106" s="8">
        <v>9416095.8000000007</v>
      </c>
      <c r="E106" s="8">
        <v>1130873.1100000001</v>
      </c>
      <c r="F106" s="8">
        <f>+C106+D106+E106</f>
        <v>10546968.91</v>
      </c>
      <c r="G106" s="7">
        <v>46004</v>
      </c>
      <c r="H106" s="1" t="s">
        <v>31</v>
      </c>
      <c r="I106" s="1" t="str">
        <f t="shared" si="1"/>
        <v>Pagado</v>
      </c>
    </row>
    <row r="107" spans="1:10" hidden="1">
      <c r="A107" s="2">
        <v>24004</v>
      </c>
      <c r="B107" s="2">
        <v>5</v>
      </c>
      <c r="C107" s="8">
        <v>907552.54</v>
      </c>
      <c r="D107" s="8">
        <v>4866957.03</v>
      </c>
      <c r="E107" s="8">
        <v>584521.55000000005</v>
      </c>
      <c r="F107" s="8">
        <v>6359031.1200000001</v>
      </c>
      <c r="G107" s="7">
        <v>46008</v>
      </c>
      <c r="H107" s="1" t="s">
        <v>31</v>
      </c>
      <c r="I107" s="1" t="str">
        <f t="shared" si="1"/>
        <v>Pagado</v>
      </c>
    </row>
    <row r="108" spans="1:10" hidden="1">
      <c r="A108" s="9">
        <v>28343183</v>
      </c>
      <c r="B108" s="9">
        <v>4</v>
      </c>
      <c r="C108" s="13">
        <v>11111111.109999999</v>
      </c>
      <c r="D108" s="13">
        <v>4972031.96</v>
      </c>
      <c r="E108" s="13">
        <v>596643.6799999997</v>
      </c>
      <c r="F108" s="13">
        <v>16679786.75</v>
      </c>
      <c r="G108" s="11">
        <v>45642</v>
      </c>
      <c r="H108" s="10" t="s">
        <v>27</v>
      </c>
      <c r="I108" s="1" t="str">
        <f t="shared" si="1"/>
        <v>Pagado</v>
      </c>
    </row>
    <row r="109" spans="1:10" hidden="1">
      <c r="A109" s="9">
        <v>927328</v>
      </c>
      <c r="B109" s="9">
        <v>4</v>
      </c>
      <c r="C109" s="13">
        <v>3454112.8979550712</v>
      </c>
      <c r="D109" s="13">
        <v>10592906.74551085</v>
      </c>
      <c r="E109" s="13">
        <v>1271148.8094613021</v>
      </c>
      <c r="F109" s="13">
        <v>15318168.452927224</v>
      </c>
      <c r="G109" s="11">
        <v>45705</v>
      </c>
      <c r="H109" s="10" t="s">
        <v>32</v>
      </c>
      <c r="I109" s="1" t="str">
        <f t="shared" si="1"/>
        <v>Pagado</v>
      </c>
    </row>
    <row r="110" spans="1:10" hidden="1">
      <c r="A110" s="9">
        <v>75472831</v>
      </c>
      <c r="B110" s="9">
        <v>4</v>
      </c>
      <c r="C110" s="13">
        <v>0</v>
      </c>
      <c r="D110" s="13">
        <v>2717808.22</v>
      </c>
      <c r="E110" s="13">
        <f>+F110-D110-C110</f>
        <v>326136.98</v>
      </c>
      <c r="F110" s="13">
        <v>3043945.2</v>
      </c>
      <c r="G110" s="11">
        <v>45705</v>
      </c>
      <c r="H110" s="10" t="s">
        <v>26</v>
      </c>
      <c r="I110" s="1" t="str">
        <f t="shared" si="1"/>
        <v>Pagado</v>
      </c>
    </row>
    <row r="111" spans="1:10" hidden="1">
      <c r="A111" s="9">
        <v>863502400</v>
      </c>
      <c r="B111" s="9">
        <v>4</v>
      </c>
      <c r="C111" s="13">
        <v>2074851.43</v>
      </c>
      <c r="D111" s="13">
        <v>7946735.7999999998</v>
      </c>
      <c r="E111" s="13">
        <v>953608.3</v>
      </c>
      <c r="F111" s="13">
        <v>10975195.529999999</v>
      </c>
      <c r="G111" s="11">
        <v>45764</v>
      </c>
      <c r="H111" s="10" t="s">
        <v>24</v>
      </c>
      <c r="I111" s="1" t="str">
        <f t="shared" si="1"/>
        <v>Pagado</v>
      </c>
    </row>
    <row r="112" spans="1:10" hidden="1">
      <c r="A112" s="2">
        <v>863502600</v>
      </c>
      <c r="B112" s="2">
        <v>12</v>
      </c>
      <c r="C112" s="8">
        <v>1337948.18</v>
      </c>
      <c r="D112" s="8">
        <v>3845631.42</v>
      </c>
      <c r="E112" s="8">
        <v>461475.77</v>
      </c>
      <c r="F112" s="8">
        <v>5645055.3700000001</v>
      </c>
      <c r="G112" s="7">
        <v>46008</v>
      </c>
      <c r="H112" s="1" t="s">
        <v>24</v>
      </c>
      <c r="I112" s="1" t="str">
        <f t="shared" si="1"/>
        <v>Pagado</v>
      </c>
    </row>
    <row r="113" spans="1:10" hidden="1">
      <c r="A113" s="2">
        <v>23790</v>
      </c>
      <c r="B113" s="2">
        <v>9</v>
      </c>
      <c r="C113" s="8">
        <v>10048279.793295985</v>
      </c>
      <c r="D113" s="8">
        <v>12746954.301369375</v>
      </c>
      <c r="E113" s="8">
        <v>1529634.5161643249</v>
      </c>
      <c r="F113" s="8">
        <v>24324868.610829685</v>
      </c>
      <c r="G113" s="7">
        <v>46008</v>
      </c>
      <c r="H113" s="1" t="s">
        <v>31</v>
      </c>
      <c r="I113" s="1" t="str">
        <f t="shared" si="1"/>
        <v>Pagado</v>
      </c>
    </row>
    <row r="114" spans="1:10" hidden="1">
      <c r="A114" s="2">
        <v>23700</v>
      </c>
      <c r="B114" s="2">
        <v>10</v>
      </c>
      <c r="C114" s="8">
        <v>10406022.289999999</v>
      </c>
      <c r="D114" s="8">
        <v>12215874.939999999</v>
      </c>
      <c r="E114" s="8">
        <v>1465904.99</v>
      </c>
      <c r="F114" s="8">
        <v>24087802.219999995</v>
      </c>
      <c r="G114" s="7">
        <v>45998</v>
      </c>
      <c r="H114" s="1" t="s">
        <v>31</v>
      </c>
      <c r="I114" s="1" t="str">
        <f t="shared" si="1"/>
        <v>Pagado</v>
      </c>
    </row>
    <row r="115" spans="1:10" hidden="1">
      <c r="A115" s="9">
        <v>65210751</v>
      </c>
      <c r="B115" s="9">
        <v>4</v>
      </c>
      <c r="C115" s="13">
        <v>0</v>
      </c>
      <c r="D115" s="13">
        <v>8835616.4399999995</v>
      </c>
      <c r="E115" s="13">
        <v>1060273.9800000004</v>
      </c>
      <c r="F115" s="13">
        <v>9895890.4199999999</v>
      </c>
      <c r="G115" s="11">
        <v>45583</v>
      </c>
      <c r="H115" s="10" t="s">
        <v>26</v>
      </c>
      <c r="I115" s="1" t="str">
        <f t="shared" si="1"/>
        <v>Pagado</v>
      </c>
    </row>
    <row r="116" spans="1:10" hidden="1">
      <c r="A116" s="2">
        <v>23467</v>
      </c>
      <c r="B116" s="2">
        <v>16</v>
      </c>
      <c r="C116" s="8">
        <v>1907622.58</v>
      </c>
      <c r="D116" s="8">
        <v>15302718.380000001</v>
      </c>
      <c r="E116" s="8">
        <v>1836326.21</v>
      </c>
      <c r="F116" s="8">
        <v>19046667.170000002</v>
      </c>
      <c r="G116" s="7">
        <v>46010</v>
      </c>
      <c r="H116" s="1" t="s">
        <v>31</v>
      </c>
      <c r="I116" s="1" t="str">
        <f t="shared" si="1"/>
        <v>Pagado</v>
      </c>
    </row>
    <row r="117" spans="1:10" hidden="1">
      <c r="A117" s="2">
        <v>23430</v>
      </c>
      <c r="B117" s="2">
        <v>17</v>
      </c>
      <c r="C117" s="8">
        <v>508699.35</v>
      </c>
      <c r="D117" s="8">
        <v>4080724.9</v>
      </c>
      <c r="E117" s="8">
        <v>489686.98</v>
      </c>
      <c r="F117" s="8">
        <v>5079111.2300000004</v>
      </c>
      <c r="G117" s="7">
        <v>46010</v>
      </c>
      <c r="H117" s="1" t="s">
        <v>31</v>
      </c>
      <c r="I117" s="1" t="str">
        <f t="shared" si="1"/>
        <v>Pagado</v>
      </c>
    </row>
    <row r="118" spans="1:10" hidden="1">
      <c r="A118" s="2">
        <v>885417400</v>
      </c>
      <c r="B118" s="2">
        <v>9</v>
      </c>
      <c r="C118" s="8">
        <v>27777777.777777776</v>
      </c>
      <c r="D118" s="8">
        <v>11567908.3234127</v>
      </c>
      <c r="E118" s="8">
        <v>1388149</v>
      </c>
      <c r="F118" s="8">
        <v>40733835.100000001</v>
      </c>
      <c r="G118" s="7">
        <v>46016</v>
      </c>
      <c r="H118" s="1" t="s">
        <v>24</v>
      </c>
      <c r="I118" s="1" t="str">
        <f t="shared" si="1"/>
        <v>Pagado</v>
      </c>
    </row>
    <row r="119" spans="1:10" hidden="1">
      <c r="A119" s="2">
        <v>394949</v>
      </c>
      <c r="B119" s="2">
        <v>12</v>
      </c>
      <c r="C119" s="8">
        <v>892456.17</v>
      </c>
      <c r="D119" s="8">
        <v>4013861.12</v>
      </c>
      <c r="E119" s="8">
        <v>481663.32</v>
      </c>
      <c r="F119" s="8">
        <v>5387980.6100000003</v>
      </c>
      <c r="G119" s="7">
        <v>46017</v>
      </c>
      <c r="H119" s="1" t="s">
        <v>30</v>
      </c>
      <c r="I119" s="1" t="str">
        <f t="shared" si="1"/>
        <v>Pagado</v>
      </c>
    </row>
    <row r="120" spans="1:10" hidden="1">
      <c r="A120" s="9">
        <v>347916</v>
      </c>
      <c r="B120" s="9">
        <v>4</v>
      </c>
      <c r="C120" s="13">
        <v>1820754.7832925916</v>
      </c>
      <c r="D120" s="13">
        <v>6632428.984966835</v>
      </c>
      <c r="E120" s="13">
        <v>795891.47819602024</v>
      </c>
      <c r="F120" s="13">
        <v>9249075.2464554459</v>
      </c>
      <c r="G120" s="11">
        <v>45592</v>
      </c>
      <c r="H120" s="10" t="s">
        <v>30</v>
      </c>
      <c r="I120" s="1" t="str">
        <f t="shared" si="1"/>
        <v>Pagado</v>
      </c>
    </row>
    <row r="121" spans="1:10" hidden="1">
      <c r="A121" s="9">
        <v>2537844</v>
      </c>
      <c r="B121" s="9">
        <v>4</v>
      </c>
      <c r="C121" s="13">
        <v>2500000</v>
      </c>
      <c r="D121" s="13">
        <v>5437500</v>
      </c>
      <c r="E121" s="13">
        <v>652500</v>
      </c>
      <c r="F121" s="13">
        <v>8590000</v>
      </c>
      <c r="G121" s="11">
        <v>45500</v>
      </c>
      <c r="H121" s="10" t="s">
        <v>29</v>
      </c>
      <c r="I121" s="1" t="str">
        <f t="shared" si="1"/>
        <v>Pagado</v>
      </c>
    </row>
    <row r="122" spans="1:10" hidden="1">
      <c r="A122" s="9">
        <v>843950300</v>
      </c>
      <c r="B122" s="9">
        <v>4</v>
      </c>
      <c r="C122" s="13">
        <v>1615987.36</v>
      </c>
      <c r="D122" s="13">
        <v>6159382.04</v>
      </c>
      <c r="E122" s="13">
        <f>+F122-D122-C122</f>
        <v>739125.84000000008</v>
      </c>
      <c r="F122" s="13">
        <v>8514495.2400000002</v>
      </c>
      <c r="G122" s="11">
        <v>45684</v>
      </c>
      <c r="H122" s="10" t="s">
        <v>24</v>
      </c>
      <c r="I122" s="1" t="str">
        <f t="shared" si="1"/>
        <v>Pagado</v>
      </c>
    </row>
    <row r="123" spans="1:10" hidden="1">
      <c r="A123" s="9">
        <v>31295</v>
      </c>
      <c r="B123" s="9">
        <v>4</v>
      </c>
      <c r="C123" s="13"/>
      <c r="D123" s="13">
        <v>5390000</v>
      </c>
      <c r="E123" s="13">
        <v>646800</v>
      </c>
      <c r="F123" s="13">
        <v>6036800</v>
      </c>
      <c r="G123" s="11">
        <v>45774</v>
      </c>
      <c r="H123" s="10" t="s">
        <v>35</v>
      </c>
      <c r="I123" s="1" t="str">
        <f t="shared" si="1"/>
        <v>Pagado</v>
      </c>
    </row>
    <row r="124" spans="1:10" hidden="1">
      <c r="A124" s="2">
        <v>885417900</v>
      </c>
      <c r="B124" s="2">
        <v>9</v>
      </c>
      <c r="C124" s="8">
        <v>27777777.777777776</v>
      </c>
      <c r="D124" s="8">
        <v>11567908.3234127</v>
      </c>
      <c r="E124" s="8">
        <v>1388149</v>
      </c>
      <c r="F124" s="8">
        <v>40733835.100000001</v>
      </c>
      <c r="G124" s="7">
        <v>46019</v>
      </c>
      <c r="H124" s="1" t="s">
        <v>24</v>
      </c>
      <c r="I124" s="1" t="str">
        <f t="shared" si="1"/>
        <v>Pagado</v>
      </c>
    </row>
    <row r="125" spans="1:10" hidden="1">
      <c r="A125" s="2">
        <v>22044</v>
      </c>
      <c r="B125" s="2">
        <v>28</v>
      </c>
      <c r="C125" s="8">
        <v>722445.75180573552</v>
      </c>
      <c r="D125" s="8">
        <v>2009552.0990415125</v>
      </c>
      <c r="E125" s="8">
        <v>241146.2518849815</v>
      </c>
      <c r="F125" s="8">
        <v>2973144.1027322295</v>
      </c>
      <c r="G125" s="7">
        <v>45993</v>
      </c>
      <c r="H125" s="1" t="s">
        <v>31</v>
      </c>
      <c r="I125" s="1" t="str">
        <f t="shared" si="1"/>
        <v>Pagado</v>
      </c>
    </row>
    <row r="126" spans="1:10" hidden="1">
      <c r="A126" s="9">
        <v>66235635</v>
      </c>
      <c r="B126" s="9">
        <v>5</v>
      </c>
      <c r="C126" s="13">
        <v>0</v>
      </c>
      <c r="D126" s="13">
        <v>7287671.2300000004</v>
      </c>
      <c r="E126" s="13">
        <v>874520.54999999981</v>
      </c>
      <c r="F126" s="13">
        <v>8162191.7800000003</v>
      </c>
      <c r="G126" s="11">
        <v>45628</v>
      </c>
      <c r="H126" s="10" t="s">
        <v>26</v>
      </c>
      <c r="I126" s="1" t="str">
        <f t="shared" si="1"/>
        <v>Pagado</v>
      </c>
    </row>
    <row r="127" spans="1:10" hidden="1">
      <c r="A127" s="2">
        <v>22044</v>
      </c>
      <c r="B127" s="2">
        <v>29</v>
      </c>
      <c r="C127" s="8">
        <v>744119.12435990782</v>
      </c>
      <c r="D127" s="8">
        <v>1987878.7264873402</v>
      </c>
      <c r="E127" s="8">
        <v>238545.44717848083</v>
      </c>
      <c r="F127" s="8">
        <v>2970543.2980257287</v>
      </c>
      <c r="G127" s="7">
        <v>46024</v>
      </c>
      <c r="H127" s="1" t="s">
        <v>31</v>
      </c>
      <c r="I127" s="1" t="str">
        <f t="shared" si="1"/>
        <v>Pagado</v>
      </c>
    </row>
    <row r="128" spans="1:10" hidden="1">
      <c r="A128" s="9">
        <v>119980</v>
      </c>
      <c r="B128" s="9">
        <v>5</v>
      </c>
      <c r="C128" s="13">
        <v>0</v>
      </c>
      <c r="D128" s="13">
        <v>17884931.510000002</v>
      </c>
      <c r="E128" s="13">
        <v>2146191.7812000001</v>
      </c>
      <c r="F128" s="13">
        <f>+C128+D128+E128</f>
        <v>20031123.291200001</v>
      </c>
      <c r="G128" s="11">
        <v>45751</v>
      </c>
      <c r="H128" s="10" t="s">
        <v>26</v>
      </c>
      <c r="I128" s="1" t="str">
        <f t="shared" si="1"/>
        <v>Pagado</v>
      </c>
      <c r="J128" s="10"/>
    </row>
    <row r="129" spans="1:9" hidden="1">
      <c r="A129" s="2">
        <v>23700</v>
      </c>
      <c r="B129" s="2">
        <v>11</v>
      </c>
      <c r="C129" s="8">
        <v>10709650.060000001</v>
      </c>
      <c r="D129" s="8">
        <v>11912247.17</v>
      </c>
      <c r="E129" s="8">
        <v>1429469.66</v>
      </c>
      <c r="F129" s="8">
        <v>24051366.890000001</v>
      </c>
      <c r="G129" s="7">
        <v>46029</v>
      </c>
      <c r="H129" s="1" t="s">
        <v>31</v>
      </c>
      <c r="I129" s="1" t="str">
        <f t="shared" si="1"/>
        <v>Pagado</v>
      </c>
    </row>
    <row r="130" spans="1:9" hidden="1">
      <c r="A130" s="2">
        <v>20828</v>
      </c>
      <c r="B130" s="2">
        <v>37</v>
      </c>
      <c r="C130" s="8">
        <v>615444.8688968441</v>
      </c>
      <c r="D130" s="8">
        <v>1168285.6567073287</v>
      </c>
      <c r="E130" s="8">
        <f>+D130*0.105</f>
        <v>122669.99395426951</v>
      </c>
      <c r="F130" s="8">
        <f>+C130+D130+E130</f>
        <v>1906400.5195584423</v>
      </c>
      <c r="G130" s="7">
        <v>46034</v>
      </c>
      <c r="H130" s="1" t="s">
        <v>31</v>
      </c>
      <c r="I130" s="1" t="str">
        <f t="shared" si="1"/>
        <v>Pagado</v>
      </c>
    </row>
    <row r="131" spans="1:9" hidden="1">
      <c r="A131" s="2">
        <v>23996</v>
      </c>
      <c r="B131" s="2">
        <v>6</v>
      </c>
      <c r="C131" s="8">
        <v>0</v>
      </c>
      <c r="D131" s="8">
        <v>9416095.8000000007</v>
      </c>
      <c r="E131" s="8">
        <v>1130873.1100000001</v>
      </c>
      <c r="F131" s="8">
        <f>+C131+D131+E131</f>
        <v>10546968.91</v>
      </c>
      <c r="G131" s="7">
        <v>46035</v>
      </c>
      <c r="H131" s="1" t="s">
        <v>31</v>
      </c>
      <c r="I131" s="1" t="str">
        <f t="shared" ref="I131:I194" si="2">IF(G131&lt;=$K$1,"Pagado","Pendiente")</f>
        <v>Pagado</v>
      </c>
    </row>
    <row r="132" spans="1:9" hidden="1">
      <c r="A132" s="9">
        <v>28343183</v>
      </c>
      <c r="B132" s="9">
        <v>5</v>
      </c>
      <c r="C132" s="13">
        <v>11111111.109999999</v>
      </c>
      <c r="D132" s="13">
        <v>3692313.4285714291</v>
      </c>
      <c r="E132" s="13">
        <v>443077.61142857146</v>
      </c>
      <c r="F132" s="13">
        <v>15246502.15</v>
      </c>
      <c r="G132" s="11">
        <v>45673</v>
      </c>
      <c r="H132" s="10" t="s">
        <v>27</v>
      </c>
      <c r="I132" s="1" t="str">
        <f t="shared" si="2"/>
        <v>Pagado</v>
      </c>
    </row>
    <row r="133" spans="1:9" hidden="1">
      <c r="A133" s="9">
        <v>927328</v>
      </c>
      <c r="B133" s="9">
        <v>5</v>
      </c>
      <c r="C133" s="13">
        <v>3540177.8776624501</v>
      </c>
      <c r="D133" s="13">
        <v>10506841.765803471</v>
      </c>
      <c r="E133" s="13">
        <v>1260821.0118964165</v>
      </c>
      <c r="F133" s="13">
        <v>15307840.655362338</v>
      </c>
      <c r="G133" s="11">
        <v>45733</v>
      </c>
      <c r="H133" s="10" t="s">
        <v>32</v>
      </c>
      <c r="I133" s="1" t="str">
        <f t="shared" si="2"/>
        <v>Pagado</v>
      </c>
    </row>
    <row r="134" spans="1:9" hidden="1">
      <c r="A134" s="9">
        <v>75472831</v>
      </c>
      <c r="B134" s="9">
        <v>5</v>
      </c>
      <c r="C134" s="13">
        <v>0</v>
      </c>
      <c r="D134" s="13">
        <v>2454794.52</v>
      </c>
      <c r="E134" s="13">
        <f>+F134-D134-C134</f>
        <v>294575.33999999985</v>
      </c>
      <c r="F134" s="13">
        <v>2749369.86</v>
      </c>
      <c r="G134" s="11">
        <v>45733</v>
      </c>
      <c r="H134" s="10" t="s">
        <v>26</v>
      </c>
      <c r="I134" s="1" t="str">
        <f t="shared" si="2"/>
        <v>Pagado</v>
      </c>
    </row>
    <row r="135" spans="1:9" hidden="1">
      <c r="A135" s="9">
        <v>863502400</v>
      </c>
      <c r="B135" s="9">
        <v>5</v>
      </c>
      <c r="C135" s="13">
        <v>2132833.15</v>
      </c>
      <c r="D135" s="13">
        <v>7888754.0800000001</v>
      </c>
      <c r="E135" s="13">
        <v>946650.49</v>
      </c>
      <c r="F135" s="13">
        <v>10968237.720000001</v>
      </c>
      <c r="G135" s="11">
        <v>45794</v>
      </c>
      <c r="H135" s="10" t="s">
        <v>24</v>
      </c>
      <c r="I135" s="1" t="str">
        <f t="shared" si="2"/>
        <v>Pagado</v>
      </c>
    </row>
    <row r="136" spans="1:9" hidden="1">
      <c r="A136" s="2">
        <v>863502600</v>
      </c>
      <c r="B136" s="2">
        <v>13</v>
      </c>
      <c r="C136" s="8">
        <v>1375337.14</v>
      </c>
      <c r="D136" s="8">
        <v>3808242.46</v>
      </c>
      <c r="E136" s="8">
        <v>456989.1</v>
      </c>
      <c r="F136" s="8">
        <v>5640568.7000000002</v>
      </c>
      <c r="G136" s="7">
        <v>46041</v>
      </c>
      <c r="H136" s="1" t="s">
        <v>24</v>
      </c>
      <c r="I136" s="1" t="str">
        <f t="shared" si="2"/>
        <v>Pagado</v>
      </c>
    </row>
    <row r="137" spans="1:9" hidden="1">
      <c r="A137" s="2">
        <v>23790</v>
      </c>
      <c r="B137" s="2">
        <v>10</v>
      </c>
      <c r="C137" s="8">
        <v>10346588.09965946</v>
      </c>
      <c r="D137" s="8">
        <v>12448645.9950059</v>
      </c>
      <c r="E137" s="8">
        <v>1493837.5194007079</v>
      </c>
      <c r="F137" s="8">
        <v>24289071.614066068</v>
      </c>
      <c r="G137" s="7">
        <v>46039</v>
      </c>
      <c r="H137" s="1" t="s">
        <v>31</v>
      </c>
      <c r="I137" s="1" t="str">
        <f t="shared" si="2"/>
        <v>Pagado</v>
      </c>
    </row>
    <row r="138" spans="1:9" hidden="1">
      <c r="A138" s="2">
        <v>24004</v>
      </c>
      <c r="B138" s="2">
        <v>6</v>
      </c>
      <c r="C138" s="8">
        <v>938042.57</v>
      </c>
      <c r="D138" s="8">
        <v>4836467</v>
      </c>
      <c r="E138" s="8">
        <v>580859.68999999994</v>
      </c>
      <c r="F138" s="8">
        <v>6355369.2599999998</v>
      </c>
      <c r="G138" s="7">
        <v>46039</v>
      </c>
      <c r="H138" s="1" t="s">
        <v>31</v>
      </c>
      <c r="I138" s="1" t="str">
        <f t="shared" si="2"/>
        <v>Pagado</v>
      </c>
    </row>
    <row r="139" spans="1:9" hidden="1">
      <c r="A139" s="9">
        <v>65210751</v>
      </c>
      <c r="B139" s="9">
        <v>5</v>
      </c>
      <c r="C139" s="13">
        <v>0</v>
      </c>
      <c r="D139" s="13">
        <v>9424657.5299999993</v>
      </c>
      <c r="E139" s="13">
        <v>1130958.9000000004</v>
      </c>
      <c r="F139" s="13">
        <v>10555616.43</v>
      </c>
      <c r="G139" s="11">
        <v>45614</v>
      </c>
      <c r="H139" s="10" t="s">
        <v>26</v>
      </c>
      <c r="I139" s="1" t="str">
        <f t="shared" si="2"/>
        <v>Pagado</v>
      </c>
    </row>
    <row r="140" spans="1:9" hidden="1">
      <c r="A140" s="2">
        <v>23430</v>
      </c>
      <c r="B140" s="2">
        <v>18</v>
      </c>
      <c r="C140" s="8">
        <v>525423.71</v>
      </c>
      <c r="D140" s="8">
        <v>4064000.54</v>
      </c>
      <c r="E140" s="8">
        <v>487680.07</v>
      </c>
      <c r="F140" s="8">
        <v>5077104.32</v>
      </c>
      <c r="G140" s="7">
        <v>46041</v>
      </c>
      <c r="H140" s="1" t="s">
        <v>31</v>
      </c>
      <c r="I140" s="1" t="str">
        <f t="shared" si="2"/>
        <v>Pagado</v>
      </c>
    </row>
    <row r="141" spans="1:9" hidden="1">
      <c r="A141" s="2">
        <v>23467</v>
      </c>
      <c r="B141" s="2">
        <v>17</v>
      </c>
      <c r="C141" s="8">
        <v>1970338.94</v>
      </c>
      <c r="D141" s="8">
        <v>15240002.02</v>
      </c>
      <c r="E141" s="8">
        <v>1828800.24</v>
      </c>
      <c r="F141" s="8">
        <v>19039141.199999999</v>
      </c>
      <c r="G141" s="7">
        <v>46041</v>
      </c>
      <c r="H141" s="1" t="s">
        <v>31</v>
      </c>
      <c r="I141" s="1" t="str">
        <f t="shared" si="2"/>
        <v>Pagado</v>
      </c>
    </row>
    <row r="142" spans="1:9" hidden="1">
      <c r="A142" s="2">
        <v>885417400</v>
      </c>
      <c r="B142" s="2">
        <v>10</v>
      </c>
      <c r="C142" s="8">
        <v>27777777.777777776</v>
      </c>
      <c r="D142" s="8">
        <v>7557949.8234126978</v>
      </c>
      <c r="E142" s="8">
        <v>906953.97880952363</v>
      </c>
      <c r="F142" s="39">
        <v>-36242681.579999991</v>
      </c>
      <c r="G142" s="7">
        <v>46047</v>
      </c>
      <c r="H142" s="1" t="s">
        <v>24</v>
      </c>
      <c r="I142" s="1" t="str">
        <f t="shared" si="2"/>
        <v>Pagado</v>
      </c>
    </row>
    <row r="143" spans="1:9" hidden="1">
      <c r="A143" s="2">
        <v>394949</v>
      </c>
      <c r="B143" s="2">
        <v>13</v>
      </c>
      <c r="C143" s="8">
        <v>917742.43</v>
      </c>
      <c r="D143" s="8">
        <v>3988574.86</v>
      </c>
      <c r="E143" s="8">
        <v>478628.98</v>
      </c>
      <c r="F143" s="8">
        <v>5384946.2699999996</v>
      </c>
      <c r="G143" s="7">
        <v>46048</v>
      </c>
      <c r="H143" s="1" t="s">
        <v>30</v>
      </c>
      <c r="I143" s="1" t="str">
        <f t="shared" si="2"/>
        <v>Pagado</v>
      </c>
    </row>
    <row r="144" spans="1:9" hidden="1">
      <c r="A144" s="9">
        <v>347916</v>
      </c>
      <c r="B144" s="9">
        <v>5</v>
      </c>
      <c r="C144" s="13">
        <v>1861721.7659166744</v>
      </c>
      <c r="D144" s="13">
        <v>6591462.0023427522</v>
      </c>
      <c r="E144" s="13">
        <v>790975.44028113026</v>
      </c>
      <c r="F144" s="13">
        <v>9244159.208540557</v>
      </c>
      <c r="G144" s="11">
        <v>45623</v>
      </c>
      <c r="H144" s="10" t="s">
        <v>30</v>
      </c>
      <c r="I144" s="1" t="str">
        <f t="shared" si="2"/>
        <v>Pagado</v>
      </c>
    </row>
    <row r="145" spans="1:9" hidden="1">
      <c r="A145" s="9">
        <v>2537844</v>
      </c>
      <c r="B145" s="9">
        <v>5</v>
      </c>
      <c r="C145" s="13">
        <v>2500000</v>
      </c>
      <c r="D145" s="13">
        <v>5316666.666666667</v>
      </c>
      <c r="E145" s="13">
        <v>638000</v>
      </c>
      <c r="F145" s="13">
        <v>8454666.6666666679</v>
      </c>
      <c r="G145" s="11">
        <v>45531</v>
      </c>
      <c r="H145" s="10" t="s">
        <v>29</v>
      </c>
      <c r="I145" s="1" t="str">
        <f t="shared" si="2"/>
        <v>Pagado</v>
      </c>
    </row>
    <row r="146" spans="1:9" hidden="1">
      <c r="A146" s="9">
        <v>843950300</v>
      </c>
      <c r="B146" s="9">
        <v>5</v>
      </c>
      <c r="C146" s="13">
        <v>1661146.13</v>
      </c>
      <c r="D146" s="13">
        <v>6114223.2699999996</v>
      </c>
      <c r="E146" s="13">
        <f>+F146-D146-C146</f>
        <v>733706.79</v>
      </c>
      <c r="F146" s="13">
        <v>8509076.1899999995</v>
      </c>
      <c r="G146" s="11">
        <v>45715</v>
      </c>
      <c r="H146" s="10" t="s">
        <v>24</v>
      </c>
      <c r="I146" s="1" t="str">
        <f t="shared" si="2"/>
        <v>Pagado</v>
      </c>
    </row>
    <row r="147" spans="1:9" hidden="1">
      <c r="A147" s="9">
        <v>31295</v>
      </c>
      <c r="B147" s="9">
        <v>5</v>
      </c>
      <c r="C147" s="13"/>
      <c r="D147" s="13">
        <v>5390000</v>
      </c>
      <c r="E147" s="13">
        <v>646800</v>
      </c>
      <c r="F147" s="13">
        <v>6036800</v>
      </c>
      <c r="G147" s="11">
        <v>45804</v>
      </c>
      <c r="H147" s="10" t="s">
        <v>35</v>
      </c>
      <c r="I147" s="1" t="str">
        <f t="shared" si="2"/>
        <v>Pagado</v>
      </c>
    </row>
    <row r="148" spans="1:9" hidden="1">
      <c r="A148" s="2">
        <v>885417900</v>
      </c>
      <c r="B148" s="2">
        <v>10</v>
      </c>
      <c r="C148" s="8">
        <v>27777777.777777776</v>
      </c>
      <c r="D148" s="8">
        <v>7557949.8234126978</v>
      </c>
      <c r="E148" s="8">
        <v>906953.97880952363</v>
      </c>
      <c r="F148" s="39">
        <v>-36242681.579999991</v>
      </c>
      <c r="G148" s="7">
        <v>46050</v>
      </c>
      <c r="H148" s="1" t="s">
        <v>24</v>
      </c>
      <c r="I148" s="1" t="str">
        <f t="shared" si="2"/>
        <v>Pagado</v>
      </c>
    </row>
    <row r="149" spans="1:9" hidden="1">
      <c r="A149" s="2">
        <v>20466</v>
      </c>
      <c r="B149" s="2">
        <v>41</v>
      </c>
      <c r="C149" s="8">
        <v>528977.8671304778</v>
      </c>
      <c r="D149" s="8">
        <v>833183.91665630799</v>
      </c>
      <c r="E149" s="8">
        <f>+D149*0.12</f>
        <v>99982.069998756953</v>
      </c>
      <c r="F149" s="8">
        <f>+C149+D149+E149</f>
        <v>1462143.8537855428</v>
      </c>
      <c r="G149" s="7">
        <v>46053</v>
      </c>
      <c r="H149" s="1" t="s">
        <v>31</v>
      </c>
      <c r="I149" s="1" t="str">
        <f t="shared" si="2"/>
        <v>Pagado</v>
      </c>
    </row>
    <row r="150" spans="1:9" hidden="1">
      <c r="A150" s="9">
        <v>66235635</v>
      </c>
      <c r="B150" s="9">
        <v>6</v>
      </c>
      <c r="C150" s="13">
        <v>0</v>
      </c>
      <c r="D150" s="13">
        <v>8068493.1500000004</v>
      </c>
      <c r="E150" s="13">
        <v>968219.1799999997</v>
      </c>
      <c r="F150" s="13">
        <v>9036712.3300000001</v>
      </c>
      <c r="G150" s="11">
        <v>45659</v>
      </c>
      <c r="H150" s="10" t="s">
        <v>26</v>
      </c>
      <c r="I150" s="1" t="str">
        <f t="shared" si="2"/>
        <v>Pagado</v>
      </c>
    </row>
    <row r="151" spans="1:9" hidden="1">
      <c r="A151" s="2">
        <v>22044</v>
      </c>
      <c r="B151" s="2">
        <v>30</v>
      </c>
      <c r="C151" s="8">
        <v>766442.69809070486</v>
      </c>
      <c r="D151" s="8">
        <v>1965555.1527565431</v>
      </c>
      <c r="E151" s="8">
        <v>235866.61833078519</v>
      </c>
      <c r="F151" s="8">
        <v>2967864.4691780331</v>
      </c>
      <c r="G151" s="7">
        <v>46055</v>
      </c>
      <c r="H151" s="1" t="s">
        <v>31</v>
      </c>
      <c r="I151" s="1" t="str">
        <f t="shared" si="2"/>
        <v>Pagado</v>
      </c>
    </row>
    <row r="152" spans="1:9" hidden="1">
      <c r="A152" s="9">
        <v>119980</v>
      </c>
      <c r="B152" s="9">
        <v>6</v>
      </c>
      <c r="C152" s="13">
        <v>0</v>
      </c>
      <c r="D152" s="13">
        <v>18481095.890000001</v>
      </c>
      <c r="E152" s="13">
        <f>+F152-D152-C152</f>
        <v>2217731.5099999979</v>
      </c>
      <c r="F152" s="13">
        <v>20698827.399999999</v>
      </c>
      <c r="G152" s="11">
        <v>45781</v>
      </c>
      <c r="H152" s="10" t="s">
        <v>26</v>
      </c>
      <c r="I152" s="1" t="str">
        <f t="shared" si="2"/>
        <v>Pagado</v>
      </c>
    </row>
    <row r="153" spans="1:9" hidden="1">
      <c r="A153" s="2">
        <v>23700</v>
      </c>
      <c r="B153" s="2">
        <v>12</v>
      </c>
      <c r="C153" s="8">
        <v>11022137.109999999</v>
      </c>
      <c r="D153" s="8">
        <v>11599760.119999999</v>
      </c>
      <c r="E153" s="8">
        <v>1391971.21</v>
      </c>
      <c r="F153" s="8">
        <v>24013868.439999998</v>
      </c>
      <c r="G153" s="7">
        <v>46060</v>
      </c>
      <c r="H153" s="1" t="s">
        <v>31</v>
      </c>
      <c r="I153" s="1" t="str">
        <f t="shared" si="2"/>
        <v>Pagado</v>
      </c>
    </row>
    <row r="154" spans="1:9" hidden="1">
      <c r="A154" s="2">
        <v>20828</v>
      </c>
      <c r="B154" s="2">
        <v>38</v>
      </c>
      <c r="C154" s="8">
        <v>633908.21496374928</v>
      </c>
      <c r="D154" s="8">
        <v>1149822.3106404236</v>
      </c>
      <c r="E154" s="8">
        <f>+D154*0.105</f>
        <v>120731.34261724447</v>
      </c>
      <c r="F154" s="8">
        <f>+C154+D154+E154</f>
        <v>1904461.8682214173</v>
      </c>
      <c r="G154" s="7">
        <v>46065</v>
      </c>
      <c r="H154" s="1" t="s">
        <v>31</v>
      </c>
      <c r="I154" s="1" t="str">
        <f t="shared" si="2"/>
        <v>Pagado</v>
      </c>
    </row>
    <row r="155" spans="1:9" hidden="1">
      <c r="A155" s="2">
        <v>23996</v>
      </c>
      <c r="B155" s="2">
        <v>7</v>
      </c>
      <c r="C155" s="8">
        <v>0</v>
      </c>
      <c r="D155" s="8">
        <v>9416095.8000000007</v>
      </c>
      <c r="E155" s="8">
        <v>1130873.1100000001</v>
      </c>
      <c r="F155" s="8">
        <f>+C155+D155+E155</f>
        <v>10546968.91</v>
      </c>
      <c r="G155" s="7">
        <v>46066</v>
      </c>
      <c r="H155" s="1" t="s">
        <v>31</v>
      </c>
      <c r="I155" s="1" t="str">
        <f t="shared" si="2"/>
        <v>Pagado</v>
      </c>
    </row>
    <row r="156" spans="1:9" hidden="1">
      <c r="A156" s="9">
        <v>28343183</v>
      </c>
      <c r="B156" s="9">
        <v>6</v>
      </c>
      <c r="C156" s="13">
        <v>11111111.109999999</v>
      </c>
      <c r="D156" s="13">
        <v>4170091.32</v>
      </c>
      <c r="E156" s="13">
        <v>500410.83000000007</v>
      </c>
      <c r="F156" s="13">
        <v>15781613.26</v>
      </c>
      <c r="G156" s="11">
        <v>45704</v>
      </c>
      <c r="H156" s="10" t="s">
        <v>27</v>
      </c>
      <c r="I156" s="1" t="str">
        <f t="shared" si="2"/>
        <v>Pagado</v>
      </c>
    </row>
    <row r="157" spans="1:9" hidden="1">
      <c r="A157" s="9">
        <v>927328</v>
      </c>
      <c r="B157" s="9">
        <v>6</v>
      </c>
      <c r="C157" s="13">
        <v>3628387.3097808734</v>
      </c>
      <c r="D157" s="13">
        <v>10418632.333685048</v>
      </c>
      <c r="E157" s="13">
        <v>1250235.8800422058</v>
      </c>
      <c r="F157" s="13">
        <v>15297255.523508128</v>
      </c>
      <c r="G157" s="11">
        <v>45764</v>
      </c>
      <c r="H157" s="10" t="s">
        <v>32</v>
      </c>
      <c r="I157" s="1" t="str">
        <f t="shared" si="2"/>
        <v>Pagado</v>
      </c>
    </row>
    <row r="158" spans="1:9" hidden="1">
      <c r="A158" s="9">
        <v>75472831</v>
      </c>
      <c r="B158" s="9">
        <v>6</v>
      </c>
      <c r="C158" s="13">
        <v>0</v>
      </c>
      <c r="D158" s="13">
        <v>2717808.22</v>
      </c>
      <c r="E158" s="13">
        <f>+F158-D158-C158</f>
        <v>326136.98</v>
      </c>
      <c r="F158" s="13">
        <v>3043945.2</v>
      </c>
      <c r="G158" s="11">
        <v>45764</v>
      </c>
      <c r="H158" s="10" t="s">
        <v>26</v>
      </c>
      <c r="I158" s="1" t="str">
        <f t="shared" si="2"/>
        <v>Pagado</v>
      </c>
    </row>
    <row r="159" spans="1:9" hidden="1">
      <c r="A159" s="2">
        <v>863502400</v>
      </c>
      <c r="B159" s="2">
        <v>6</v>
      </c>
      <c r="C159" s="8">
        <v>2192435.1800000002</v>
      </c>
      <c r="D159" s="8">
        <v>7829152.0499999998</v>
      </c>
      <c r="E159" s="8">
        <v>939498.25</v>
      </c>
      <c r="F159" s="8">
        <v>10961085.48</v>
      </c>
      <c r="G159" s="7">
        <v>45825</v>
      </c>
      <c r="H159" s="1" t="s">
        <v>24</v>
      </c>
      <c r="I159" s="1" t="str">
        <f t="shared" si="2"/>
        <v>Pagado</v>
      </c>
    </row>
    <row r="160" spans="1:9" hidden="1">
      <c r="A160" s="2">
        <v>863502600</v>
      </c>
      <c r="B160" s="2">
        <v>14</v>
      </c>
      <c r="C160" s="8">
        <v>1413770.94</v>
      </c>
      <c r="D160" s="8">
        <v>3769808.66</v>
      </c>
      <c r="E160" s="8">
        <v>452377.04</v>
      </c>
      <c r="F160" s="8">
        <v>5635956.6399999997</v>
      </c>
      <c r="G160" s="7">
        <v>46070</v>
      </c>
      <c r="H160" s="1" t="s">
        <v>24</v>
      </c>
      <c r="I160" s="1" t="str">
        <f t="shared" si="2"/>
        <v>Pagado</v>
      </c>
    </row>
    <row r="161" spans="1:9" hidden="1">
      <c r="A161" s="2">
        <v>23790</v>
      </c>
      <c r="B161" s="2">
        <v>11</v>
      </c>
      <c r="C161" s="8">
        <v>10653752.433868099</v>
      </c>
      <c r="D161" s="8">
        <v>12141481.660797261</v>
      </c>
      <c r="E161" s="8">
        <v>1456977.7992956713</v>
      </c>
      <c r="F161" s="8">
        <v>24252211.893961031</v>
      </c>
      <c r="G161" s="7">
        <v>46070</v>
      </c>
      <c r="H161" s="1" t="s">
        <v>31</v>
      </c>
      <c r="I161" s="1" t="str">
        <f t="shared" si="2"/>
        <v>Pagado</v>
      </c>
    </row>
    <row r="162" spans="1:9" hidden="1">
      <c r="A162" s="2">
        <v>24004</v>
      </c>
      <c r="B162" s="2">
        <v>7</v>
      </c>
      <c r="C162" s="8">
        <v>969556.95</v>
      </c>
      <c r="D162" s="8">
        <v>4804952.62</v>
      </c>
      <c r="E162" s="8">
        <v>577074.81999999995</v>
      </c>
      <c r="F162" s="8">
        <v>6351584.3899999997</v>
      </c>
      <c r="G162" s="7">
        <v>46070</v>
      </c>
      <c r="H162" s="1" t="s">
        <v>31</v>
      </c>
      <c r="I162" s="1" t="str">
        <f t="shared" si="2"/>
        <v>Pagado</v>
      </c>
    </row>
    <row r="163" spans="1:9" hidden="1">
      <c r="A163" s="9">
        <v>65210751</v>
      </c>
      <c r="B163" s="9">
        <v>6</v>
      </c>
      <c r="C163" s="13">
        <v>0</v>
      </c>
      <c r="D163" s="13">
        <v>8541095.8900000006</v>
      </c>
      <c r="E163" s="13">
        <v>1024931.5099999998</v>
      </c>
      <c r="F163" s="13">
        <v>9566027.4000000004</v>
      </c>
      <c r="G163" s="11">
        <v>45644</v>
      </c>
      <c r="H163" s="10" t="s">
        <v>26</v>
      </c>
      <c r="I163" s="1" t="str">
        <f t="shared" si="2"/>
        <v>Pagado</v>
      </c>
    </row>
    <row r="164" spans="1:9" hidden="1">
      <c r="A164" s="2">
        <v>23430</v>
      </c>
      <c r="B164" s="2">
        <v>19</v>
      </c>
      <c r="C164" s="8">
        <v>542697.91</v>
      </c>
      <c r="D164" s="8">
        <v>4046726.34</v>
      </c>
      <c r="E164" s="8">
        <v>485607.17</v>
      </c>
      <c r="F164" s="8">
        <v>5075031.42</v>
      </c>
      <c r="G164" s="7">
        <v>46072</v>
      </c>
      <c r="H164" s="1" t="s">
        <v>31</v>
      </c>
      <c r="I164" s="1" t="str">
        <f t="shared" si="2"/>
        <v>Pagado</v>
      </c>
    </row>
    <row r="165" spans="1:9" hidden="1">
      <c r="A165" s="2">
        <v>23467</v>
      </c>
      <c r="B165" s="2">
        <v>18</v>
      </c>
      <c r="C165" s="8">
        <v>2035117.2</v>
      </c>
      <c r="D165" s="8">
        <v>15175223.76</v>
      </c>
      <c r="E165" s="8">
        <v>1821026.85</v>
      </c>
      <c r="F165" s="8">
        <v>19031367.809999999</v>
      </c>
      <c r="G165" s="7">
        <v>46072</v>
      </c>
      <c r="H165" s="1" t="s">
        <v>31</v>
      </c>
      <c r="I165" s="1" t="str">
        <f t="shared" si="2"/>
        <v>Pagado</v>
      </c>
    </row>
    <row r="166" spans="1:9" hidden="1">
      <c r="A166" s="2">
        <v>885417400</v>
      </c>
      <c r="B166" s="2">
        <v>11</v>
      </c>
      <c r="C166" s="8">
        <v>27777777.777777776</v>
      </c>
      <c r="D166" s="8">
        <v>6792592.5925925886</v>
      </c>
      <c r="E166" s="8">
        <v>815111.11111111066</v>
      </c>
      <c r="F166" s="8">
        <v>35385481.481481478</v>
      </c>
      <c r="G166" s="7">
        <v>46078</v>
      </c>
      <c r="H166" s="1" t="s">
        <v>24</v>
      </c>
      <c r="I166" s="1" t="str">
        <f t="shared" si="2"/>
        <v>Pagado</v>
      </c>
    </row>
    <row r="167" spans="1:9" hidden="1">
      <c r="A167" s="2">
        <v>394949</v>
      </c>
      <c r="B167" s="2">
        <v>14</v>
      </c>
      <c r="C167" s="8">
        <v>943745.13</v>
      </c>
      <c r="D167" s="8">
        <v>3962572.16</v>
      </c>
      <c r="E167" s="8">
        <v>475508.65</v>
      </c>
      <c r="F167" s="8">
        <v>5381825.9400000004</v>
      </c>
      <c r="G167" s="7">
        <v>46079</v>
      </c>
      <c r="H167" s="1" t="s">
        <v>30</v>
      </c>
      <c r="I167" s="1" t="str">
        <f t="shared" si="2"/>
        <v>Pagado</v>
      </c>
    </row>
    <row r="168" spans="1:9" s="10" customFormat="1" hidden="1">
      <c r="A168" s="2">
        <v>119980</v>
      </c>
      <c r="B168" s="2">
        <v>7</v>
      </c>
      <c r="C168" s="8">
        <v>0</v>
      </c>
      <c r="D168" s="8">
        <v>17884931.510000002</v>
      </c>
      <c r="E168" s="8">
        <f t="shared" ref="E168:E173" si="3">+F168-D168-C168</f>
        <v>2146191.7799999975</v>
      </c>
      <c r="F168" s="8">
        <v>20031123.289999999</v>
      </c>
      <c r="G168" s="7">
        <v>45812</v>
      </c>
      <c r="H168" s="1" t="s">
        <v>26</v>
      </c>
      <c r="I168" s="1" t="str">
        <f t="shared" si="2"/>
        <v>Pagado</v>
      </c>
    </row>
    <row r="169" spans="1:9" s="10" customFormat="1" hidden="1">
      <c r="A169" s="2">
        <v>119980</v>
      </c>
      <c r="B169" s="2">
        <v>8</v>
      </c>
      <c r="C169" s="8">
        <v>0</v>
      </c>
      <c r="D169" s="8">
        <v>17884931.510000002</v>
      </c>
      <c r="E169" s="8">
        <f t="shared" si="3"/>
        <v>2146191.7799999975</v>
      </c>
      <c r="F169" s="8">
        <v>20031123.289999999</v>
      </c>
      <c r="G169" s="7">
        <v>45842</v>
      </c>
      <c r="H169" s="1" t="s">
        <v>26</v>
      </c>
      <c r="I169" s="1" t="str">
        <f t="shared" si="2"/>
        <v>Pagado</v>
      </c>
    </row>
    <row r="170" spans="1:9" s="10" customFormat="1" hidden="1">
      <c r="A170" s="2">
        <v>119980</v>
      </c>
      <c r="B170" s="2">
        <v>9</v>
      </c>
      <c r="C170" s="8">
        <v>0</v>
      </c>
      <c r="D170" s="8">
        <v>18481095.890000001</v>
      </c>
      <c r="E170" s="8">
        <f t="shared" si="3"/>
        <v>2217731.5099999979</v>
      </c>
      <c r="F170" s="8">
        <v>20698827.399999999</v>
      </c>
      <c r="G170" s="7">
        <v>45873</v>
      </c>
      <c r="H170" s="1" t="s">
        <v>26</v>
      </c>
      <c r="I170" s="1" t="str">
        <f t="shared" si="2"/>
        <v>Pagado</v>
      </c>
    </row>
    <row r="171" spans="1:9" s="10" customFormat="1" hidden="1">
      <c r="A171" s="2">
        <v>119980</v>
      </c>
      <c r="B171" s="2">
        <v>10</v>
      </c>
      <c r="C171" s="8">
        <v>0</v>
      </c>
      <c r="D171" s="8">
        <v>18481095.890000001</v>
      </c>
      <c r="E171" s="8">
        <f t="shared" si="3"/>
        <v>2217731.5099999979</v>
      </c>
      <c r="F171" s="8">
        <v>20698827.399999999</v>
      </c>
      <c r="G171" s="7">
        <v>45904</v>
      </c>
      <c r="H171" s="1" t="s">
        <v>26</v>
      </c>
      <c r="I171" s="1" t="str">
        <f t="shared" si="2"/>
        <v>Pagado</v>
      </c>
    </row>
    <row r="172" spans="1:9" s="10" customFormat="1" hidden="1">
      <c r="A172" s="2">
        <v>119980</v>
      </c>
      <c r="B172" s="2">
        <v>11</v>
      </c>
      <c r="C172" s="8">
        <v>0</v>
      </c>
      <c r="D172" s="8">
        <v>19077260.27</v>
      </c>
      <c r="E172" s="8">
        <f t="shared" si="3"/>
        <v>2289271.2300000004</v>
      </c>
      <c r="F172" s="8">
        <v>21366531.5</v>
      </c>
      <c r="G172" s="7">
        <v>45934</v>
      </c>
      <c r="H172" s="1" t="s">
        <v>26</v>
      </c>
      <c r="I172" s="1" t="str">
        <f t="shared" si="2"/>
        <v>Pagado</v>
      </c>
    </row>
    <row r="173" spans="1:9" s="10" customFormat="1" hidden="1">
      <c r="A173" s="2">
        <v>119980</v>
      </c>
      <c r="B173" s="2">
        <v>12</v>
      </c>
      <c r="C173" s="8">
        <v>0</v>
      </c>
      <c r="D173" s="8">
        <v>17288767.120000001</v>
      </c>
      <c r="E173" s="8">
        <f t="shared" si="3"/>
        <v>2074652.0599999987</v>
      </c>
      <c r="F173" s="8">
        <v>19363419.18</v>
      </c>
      <c r="G173" s="7">
        <v>45965</v>
      </c>
      <c r="H173" s="1" t="s">
        <v>26</v>
      </c>
      <c r="I173" s="1" t="str">
        <f t="shared" si="2"/>
        <v>Pagado</v>
      </c>
    </row>
    <row r="174" spans="1:9" s="10" customFormat="1" hidden="1">
      <c r="A174" s="9">
        <v>75472831</v>
      </c>
      <c r="B174" s="9">
        <v>7</v>
      </c>
      <c r="C174" s="13">
        <v>0</v>
      </c>
      <c r="D174" s="13">
        <v>2454794.52</v>
      </c>
      <c r="E174" s="13">
        <v>294575.34000000003</v>
      </c>
      <c r="F174" s="13">
        <f>+D174+E174</f>
        <v>2749369.86</v>
      </c>
      <c r="G174" s="11">
        <v>45794</v>
      </c>
      <c r="H174" s="10" t="s">
        <v>26</v>
      </c>
      <c r="I174" s="1" t="str">
        <f t="shared" si="2"/>
        <v>Pagado</v>
      </c>
    </row>
    <row r="175" spans="1:9" hidden="1">
      <c r="A175" s="2">
        <v>119980</v>
      </c>
      <c r="B175" s="2">
        <v>13</v>
      </c>
      <c r="C175" s="8">
        <v>14166666.67</v>
      </c>
      <c r="D175" s="8">
        <v>17884931.510000002</v>
      </c>
      <c r="E175" s="8">
        <f>+F175-D175-C175</f>
        <v>2146191.7799999993</v>
      </c>
      <c r="F175" s="8">
        <v>34197789.960000001</v>
      </c>
      <c r="G175" s="7">
        <v>45995</v>
      </c>
      <c r="H175" s="1" t="s">
        <v>26</v>
      </c>
      <c r="I175" s="1" t="str">
        <f t="shared" si="2"/>
        <v>Pagado</v>
      </c>
    </row>
    <row r="176" spans="1:9" hidden="1">
      <c r="A176" s="9">
        <v>119980</v>
      </c>
      <c r="B176" s="9">
        <v>14</v>
      </c>
      <c r="C176" s="13">
        <v>14166666.67</v>
      </c>
      <c r="D176" s="13">
        <v>18679817.350000001</v>
      </c>
      <c r="E176" s="13">
        <f>+F176-D176-C176</f>
        <v>2241578.08</v>
      </c>
      <c r="F176" s="13">
        <v>35088062.100000001</v>
      </c>
      <c r="G176" s="11">
        <v>46027</v>
      </c>
      <c r="H176" s="10" t="s">
        <v>26</v>
      </c>
      <c r="I176" s="1" t="str">
        <f t="shared" si="2"/>
        <v>Pagado</v>
      </c>
    </row>
    <row r="177" spans="1:10" hidden="1">
      <c r="A177" s="9">
        <v>347916</v>
      </c>
      <c r="B177" s="9">
        <v>6</v>
      </c>
      <c r="C177" s="13">
        <v>1903610.5056497995</v>
      </c>
      <c r="D177" s="13">
        <v>6549573.2626096271</v>
      </c>
      <c r="E177" s="13">
        <v>785948.79151315521</v>
      </c>
      <c r="F177" s="13">
        <v>9239132.5597725809</v>
      </c>
      <c r="G177" s="11">
        <v>45653</v>
      </c>
      <c r="H177" s="10" t="s">
        <v>30</v>
      </c>
      <c r="I177" s="1" t="str">
        <f t="shared" si="2"/>
        <v>Pagado</v>
      </c>
    </row>
    <row r="178" spans="1:10" hidden="1">
      <c r="A178" s="9">
        <v>2537844</v>
      </c>
      <c r="B178" s="9">
        <v>6</v>
      </c>
      <c r="C178" s="13">
        <v>2500000</v>
      </c>
      <c r="D178" s="13">
        <v>5195833.333333333</v>
      </c>
      <c r="E178" s="13">
        <v>623500</v>
      </c>
      <c r="F178" s="13">
        <v>8319333.333333333</v>
      </c>
      <c r="G178" s="11">
        <v>45562</v>
      </c>
      <c r="H178" s="10" t="s">
        <v>29</v>
      </c>
      <c r="I178" s="1" t="str">
        <f t="shared" si="2"/>
        <v>Pagado</v>
      </c>
    </row>
    <row r="179" spans="1:10" hidden="1">
      <c r="A179" s="9">
        <v>843950300</v>
      </c>
      <c r="B179" s="9">
        <v>6</v>
      </c>
      <c r="C179" s="13">
        <v>1707566.86</v>
      </c>
      <c r="D179" s="13">
        <v>6067802.54</v>
      </c>
      <c r="E179" s="13">
        <f>+F179-D179-C179</f>
        <v>728136.31000000075</v>
      </c>
      <c r="F179" s="13">
        <v>8503505.7100000009</v>
      </c>
      <c r="G179" s="11">
        <v>45743</v>
      </c>
      <c r="H179" s="10" t="s">
        <v>24</v>
      </c>
      <c r="I179" s="1" t="str">
        <f t="shared" si="2"/>
        <v>Pagado</v>
      </c>
    </row>
    <row r="180" spans="1:10" hidden="1">
      <c r="A180" s="9">
        <v>31295</v>
      </c>
      <c r="B180" s="9">
        <v>6</v>
      </c>
      <c r="C180" s="13"/>
      <c r="D180" s="13">
        <v>5390000</v>
      </c>
      <c r="E180" s="13">
        <v>646800</v>
      </c>
      <c r="F180" s="13">
        <v>6036800</v>
      </c>
      <c r="G180" s="11">
        <v>45835</v>
      </c>
      <c r="H180" s="10" t="s">
        <v>35</v>
      </c>
      <c r="I180" s="1" t="str">
        <f t="shared" si="2"/>
        <v>Pagado</v>
      </c>
    </row>
    <row r="181" spans="1:10" s="10" customFormat="1" hidden="1">
      <c r="A181" s="2">
        <v>20466</v>
      </c>
      <c r="B181" s="2">
        <v>42</v>
      </c>
      <c r="C181" s="8">
        <v>544847.20314439212</v>
      </c>
      <c r="D181" s="8">
        <v>817314.58064239367</v>
      </c>
      <c r="E181" s="8">
        <f>+D181*0.12</f>
        <v>98077.749677087239</v>
      </c>
      <c r="F181" s="8">
        <f>+C181+D181+E181</f>
        <v>1460239.533463873</v>
      </c>
      <c r="G181" s="7">
        <v>46081</v>
      </c>
      <c r="H181" s="1" t="s">
        <v>31</v>
      </c>
      <c r="I181" s="1" t="str">
        <f t="shared" si="2"/>
        <v>Pagado</v>
      </c>
      <c r="J181" s="15"/>
    </row>
    <row r="182" spans="1:10" hidden="1">
      <c r="A182" s="2">
        <v>885417900</v>
      </c>
      <c r="B182" s="2">
        <v>11</v>
      </c>
      <c r="C182" s="8">
        <v>27777777.777777776</v>
      </c>
      <c r="D182" s="8">
        <v>6792592.5925925886</v>
      </c>
      <c r="E182" s="8">
        <v>815111.11111111066</v>
      </c>
      <c r="F182" s="8">
        <v>35385481.481481478</v>
      </c>
      <c r="G182" s="7">
        <v>46081</v>
      </c>
      <c r="H182" s="1" t="s">
        <v>24</v>
      </c>
      <c r="I182" s="1" t="str">
        <f t="shared" si="2"/>
        <v>Pagado</v>
      </c>
    </row>
    <row r="183" spans="1:10" hidden="1">
      <c r="A183" s="9">
        <v>66235635</v>
      </c>
      <c r="B183" s="9">
        <v>7</v>
      </c>
      <c r="C183" s="13">
        <v>0</v>
      </c>
      <c r="D183" s="13">
        <v>8328767.1200000001</v>
      </c>
      <c r="E183" s="13">
        <v>999452.05999999959</v>
      </c>
      <c r="F183" s="13">
        <v>9328219.1799999997</v>
      </c>
      <c r="G183" s="11">
        <v>45690</v>
      </c>
      <c r="H183" s="10" t="s">
        <v>26</v>
      </c>
      <c r="I183" s="1" t="str">
        <f t="shared" si="2"/>
        <v>Pagado</v>
      </c>
    </row>
    <row r="184" spans="1:10" hidden="1">
      <c r="A184" s="2">
        <v>22044</v>
      </c>
      <c r="B184" s="2">
        <v>31</v>
      </c>
      <c r="C184" s="8">
        <v>789435.97903342592</v>
      </c>
      <c r="D184" s="8">
        <v>1942561.8718138221</v>
      </c>
      <c r="E184" s="8">
        <v>233107.42461765866</v>
      </c>
      <c r="F184" s="8">
        <v>2965105.2754649068</v>
      </c>
      <c r="G184" s="7">
        <v>46083</v>
      </c>
      <c r="H184" s="1" t="s">
        <v>31</v>
      </c>
      <c r="I184" s="1" t="str">
        <f t="shared" si="2"/>
        <v>Pagado</v>
      </c>
    </row>
    <row r="185" spans="1:10" hidden="1">
      <c r="A185" s="2">
        <v>119980</v>
      </c>
      <c r="B185" s="2">
        <v>15</v>
      </c>
      <c r="C185" s="8">
        <v>14166666.67</v>
      </c>
      <c r="D185" s="8">
        <v>17139726.030000001</v>
      </c>
      <c r="E185" s="8">
        <f>+F185-D185-C185</f>
        <v>2056767.1199999992</v>
      </c>
      <c r="F185" s="8">
        <v>33363159.82</v>
      </c>
      <c r="G185" s="7">
        <v>46057</v>
      </c>
      <c r="H185" s="1" t="s">
        <v>26</v>
      </c>
      <c r="I185" s="1" t="str">
        <f t="shared" si="2"/>
        <v>Pagado</v>
      </c>
    </row>
    <row r="186" spans="1:10" hidden="1">
      <c r="A186" s="2">
        <v>23700</v>
      </c>
      <c r="B186" s="2">
        <v>13</v>
      </c>
      <c r="C186" s="8">
        <v>11343741.93</v>
      </c>
      <c r="D186" s="8">
        <v>11278155.300000001</v>
      </c>
      <c r="E186" s="8">
        <v>1353378.64</v>
      </c>
      <c r="F186" s="8">
        <v>23975275.870000001</v>
      </c>
      <c r="G186" s="7">
        <v>46088</v>
      </c>
      <c r="H186" s="1" t="s">
        <v>31</v>
      </c>
      <c r="I186" s="1" t="str">
        <f t="shared" si="2"/>
        <v>Pagado</v>
      </c>
    </row>
    <row r="187" spans="1:10" hidden="1">
      <c r="A187" s="2">
        <v>20828</v>
      </c>
      <c r="B187" s="2">
        <v>39</v>
      </c>
      <c r="C187" s="8">
        <v>652925.46141266171</v>
      </c>
      <c r="D187" s="8">
        <v>1130805.0641915111</v>
      </c>
      <c r="E187" s="8">
        <f>+D187*0.105</f>
        <v>118734.53174010866</v>
      </c>
      <c r="F187" s="8">
        <f>+C187+D187+E187</f>
        <v>1902465.0573442816</v>
      </c>
      <c r="G187" s="7">
        <v>46093</v>
      </c>
      <c r="H187" s="1" t="s">
        <v>31</v>
      </c>
      <c r="I187" s="1" t="str">
        <f t="shared" si="2"/>
        <v>Pagado</v>
      </c>
    </row>
    <row r="188" spans="1:10" hidden="1">
      <c r="A188" s="2">
        <v>23996</v>
      </c>
      <c r="B188" s="2">
        <v>8</v>
      </c>
      <c r="C188" s="8">
        <v>0</v>
      </c>
      <c r="D188" s="8">
        <v>9416095.8000000007</v>
      </c>
      <c r="E188" s="8">
        <v>1130873.1100000001</v>
      </c>
      <c r="F188" s="8">
        <f>+C188+D188+E188</f>
        <v>10546968.91</v>
      </c>
      <c r="G188" s="7">
        <v>46094</v>
      </c>
      <c r="H188" s="1" t="s">
        <v>31</v>
      </c>
      <c r="I188" s="1" t="str">
        <f t="shared" si="2"/>
        <v>Pagado</v>
      </c>
    </row>
    <row r="189" spans="1:10" hidden="1">
      <c r="A189" s="9">
        <v>927328</v>
      </c>
      <c r="B189" s="9">
        <v>7</v>
      </c>
      <c r="C189" s="13">
        <v>3718794.6269162465</v>
      </c>
      <c r="D189" s="13">
        <v>10336348.279539064</v>
      </c>
      <c r="E189" s="13">
        <v>1240361.7935446876</v>
      </c>
      <c r="F189" s="13">
        <v>15295504.699999999</v>
      </c>
      <c r="G189" s="11">
        <v>45794</v>
      </c>
      <c r="H189" s="10" t="s">
        <v>32</v>
      </c>
      <c r="I189" s="1" t="str">
        <f t="shared" si="2"/>
        <v>Pagado</v>
      </c>
    </row>
    <row r="190" spans="1:10" hidden="1">
      <c r="A190" s="9">
        <v>75472831</v>
      </c>
      <c r="B190" s="9">
        <v>8</v>
      </c>
      <c r="C190" s="13">
        <v>0</v>
      </c>
      <c r="D190" s="13">
        <v>2542465.75</v>
      </c>
      <c r="E190" s="13">
        <f>+F190-D190-C190</f>
        <v>305095.89000000013</v>
      </c>
      <c r="F190" s="13">
        <v>2847561.64</v>
      </c>
      <c r="G190" s="11">
        <v>45825</v>
      </c>
      <c r="H190" s="10" t="s">
        <v>26</v>
      </c>
      <c r="I190" s="1" t="str">
        <f t="shared" si="2"/>
        <v>Pagado</v>
      </c>
    </row>
    <row r="191" spans="1:10" hidden="1">
      <c r="A191" s="2">
        <v>863502400</v>
      </c>
      <c r="B191" s="2">
        <v>7</v>
      </c>
      <c r="C191" s="8">
        <v>2253702.7799999998</v>
      </c>
      <c r="D191" s="8">
        <v>7767884.4500000002</v>
      </c>
      <c r="E191" s="8">
        <v>932146.14</v>
      </c>
      <c r="F191" s="8">
        <v>10953733.369999999</v>
      </c>
      <c r="G191" s="7">
        <v>45855</v>
      </c>
      <c r="H191" s="1" t="s">
        <v>24</v>
      </c>
      <c r="I191" s="1" t="str">
        <f t="shared" si="2"/>
        <v>Pagado</v>
      </c>
    </row>
    <row r="192" spans="1:10" hidden="1">
      <c r="A192" s="2">
        <v>863502600</v>
      </c>
      <c r="B192" s="2">
        <v>15</v>
      </c>
      <c r="C192" s="8">
        <v>1453278.76</v>
      </c>
      <c r="D192" s="8">
        <v>3730300.84</v>
      </c>
      <c r="E192" s="8">
        <v>447636.1</v>
      </c>
      <c r="F192" s="8">
        <v>5631215.7000000002</v>
      </c>
      <c r="G192" s="7">
        <v>46098</v>
      </c>
      <c r="H192" s="1" t="s">
        <v>24</v>
      </c>
      <c r="I192" s="1" t="str">
        <f t="shared" si="2"/>
        <v>Pagado</v>
      </c>
    </row>
    <row r="193" spans="1:9" hidden="1">
      <c r="A193" s="2">
        <v>23790</v>
      </c>
      <c r="B193" s="2">
        <v>12</v>
      </c>
      <c r="C193" s="8">
        <v>10970035.70924856</v>
      </c>
      <c r="D193" s="8">
        <v>11825198.3854168</v>
      </c>
      <c r="E193" s="8">
        <v>1419023.806250016</v>
      </c>
      <c r="F193" s="8">
        <v>24214257.900915377</v>
      </c>
      <c r="G193" s="7">
        <v>46098</v>
      </c>
      <c r="H193" s="1" t="s">
        <v>31</v>
      </c>
      <c r="I193" s="1" t="str">
        <f t="shared" si="2"/>
        <v>Pagado</v>
      </c>
    </row>
    <row r="194" spans="1:9" hidden="1">
      <c r="A194" s="2">
        <v>24004</v>
      </c>
      <c r="B194" s="2">
        <v>8</v>
      </c>
      <c r="C194" s="8">
        <v>1002130.07</v>
      </c>
      <c r="D194" s="8">
        <v>4772379.5</v>
      </c>
      <c r="E194" s="8">
        <v>573162.78</v>
      </c>
      <c r="F194" s="8">
        <v>6347672.3499999996</v>
      </c>
      <c r="G194" s="7">
        <v>46098</v>
      </c>
      <c r="H194" s="1" t="s">
        <v>31</v>
      </c>
      <c r="I194" s="1" t="str">
        <f t="shared" si="2"/>
        <v>Pagado</v>
      </c>
    </row>
    <row r="195" spans="1:9" hidden="1">
      <c r="A195" s="9">
        <v>65210751</v>
      </c>
      <c r="B195" s="9">
        <v>7</v>
      </c>
      <c r="C195" s="13">
        <v>0</v>
      </c>
      <c r="D195" s="13">
        <v>9719178.0800000001</v>
      </c>
      <c r="E195" s="13">
        <v>1166301.3699999992</v>
      </c>
      <c r="F195" s="13">
        <v>10885479.449999999</v>
      </c>
      <c r="G195" s="11">
        <v>45675</v>
      </c>
      <c r="H195" s="10" t="s">
        <v>26</v>
      </c>
      <c r="I195" s="1" t="str">
        <f t="shared" ref="I195:I214" si="4">IF(G195&lt;=$K$1,"Pagado","Pendiente")</f>
        <v>Pagado</v>
      </c>
    </row>
    <row r="196" spans="1:9" hidden="1">
      <c r="A196" s="2">
        <v>23430</v>
      </c>
      <c r="B196" s="2">
        <v>20</v>
      </c>
      <c r="C196" s="8">
        <v>560540.04</v>
      </c>
      <c r="D196" s="8">
        <v>4028884.21</v>
      </c>
      <c r="E196" s="8">
        <v>483466.1</v>
      </c>
      <c r="F196" s="8">
        <v>5072890.3499999996</v>
      </c>
      <c r="G196" s="7">
        <v>46100</v>
      </c>
      <c r="H196" s="1" t="s">
        <v>31</v>
      </c>
      <c r="I196" s="1" t="str">
        <f t="shared" si="4"/>
        <v>Pagado</v>
      </c>
    </row>
    <row r="197" spans="1:9" hidden="1">
      <c r="A197" s="2">
        <v>23467</v>
      </c>
      <c r="B197" s="2">
        <v>19</v>
      </c>
      <c r="C197" s="8">
        <v>2102025.16</v>
      </c>
      <c r="D197" s="8">
        <v>15108315.800000001</v>
      </c>
      <c r="E197" s="8">
        <v>1812997.9</v>
      </c>
      <c r="F197" s="8">
        <v>19023338.859999999</v>
      </c>
      <c r="G197" s="7">
        <v>46100</v>
      </c>
      <c r="H197" s="1" t="s">
        <v>31</v>
      </c>
      <c r="I197" s="1" t="str">
        <f t="shared" si="4"/>
        <v>Pagado</v>
      </c>
    </row>
    <row r="198" spans="1:9" hidden="1">
      <c r="A198" s="2">
        <v>885417400</v>
      </c>
      <c r="B198" s="2">
        <v>12</v>
      </c>
      <c r="C198" s="8">
        <v>27777777.777777776</v>
      </c>
      <c r="D198" s="8">
        <v>5943518.518518514</v>
      </c>
      <c r="E198" s="8">
        <v>713222.22222222167</v>
      </c>
      <c r="F198" s="8">
        <v>34434518.518518515</v>
      </c>
      <c r="G198" s="7">
        <v>46106</v>
      </c>
      <c r="H198" s="1" t="s">
        <v>24</v>
      </c>
      <c r="I198" s="1" t="str">
        <f t="shared" si="4"/>
        <v>Pagado</v>
      </c>
    </row>
    <row r="199" spans="1:9" hidden="1">
      <c r="A199" s="2">
        <v>394949</v>
      </c>
      <c r="B199" s="2">
        <v>15</v>
      </c>
      <c r="C199" s="8">
        <v>970484.57</v>
      </c>
      <c r="D199" s="8">
        <v>3935832.72</v>
      </c>
      <c r="E199" s="8">
        <v>472299.92</v>
      </c>
      <c r="F199" s="8">
        <v>5378617.21</v>
      </c>
      <c r="G199" s="7">
        <v>46107</v>
      </c>
      <c r="H199" s="1" t="s">
        <v>30</v>
      </c>
      <c r="I199" s="1" t="str">
        <f t="shared" si="4"/>
        <v>Pagado</v>
      </c>
    </row>
    <row r="200" spans="1:9" hidden="1">
      <c r="A200" s="9">
        <v>347916</v>
      </c>
      <c r="B200" s="9">
        <v>7</v>
      </c>
      <c r="C200" s="13">
        <v>1946441.7420269195</v>
      </c>
      <c r="D200" s="13">
        <v>6506742.0262325071</v>
      </c>
      <c r="E200" s="13">
        <v>780809.04314790084</v>
      </c>
      <c r="F200" s="13">
        <v>9233992.8114073277</v>
      </c>
      <c r="G200" s="11">
        <v>45684</v>
      </c>
      <c r="H200" s="10" t="s">
        <v>30</v>
      </c>
      <c r="I200" s="1" t="str">
        <f t="shared" si="4"/>
        <v>Pagado</v>
      </c>
    </row>
    <row r="201" spans="1:9" hidden="1">
      <c r="A201" s="9">
        <v>2537844</v>
      </c>
      <c r="B201" s="9">
        <v>7</v>
      </c>
      <c r="C201" s="13">
        <v>2500000</v>
      </c>
      <c r="D201" s="13">
        <v>2589041.1071428573</v>
      </c>
      <c r="E201" s="13">
        <v>310684.93285714288</v>
      </c>
      <c r="F201" s="13">
        <v>5399726.04</v>
      </c>
      <c r="G201" s="11">
        <v>45592</v>
      </c>
      <c r="H201" s="10" t="s">
        <v>29</v>
      </c>
      <c r="I201" s="1" t="str">
        <f t="shared" si="4"/>
        <v>Pagado</v>
      </c>
    </row>
    <row r="202" spans="1:9" hidden="1">
      <c r="A202" s="9">
        <v>843950300</v>
      </c>
      <c r="B202" s="9">
        <v>7</v>
      </c>
      <c r="C202" s="13">
        <v>1755284.81</v>
      </c>
      <c r="D202" s="13">
        <v>6020084.5899999999</v>
      </c>
      <c r="E202" s="13">
        <f>+F202-D202-C202</f>
        <v>722410.15000000084</v>
      </c>
      <c r="F202" s="13">
        <v>8497779.5500000007</v>
      </c>
      <c r="G202" s="11">
        <v>45774</v>
      </c>
      <c r="H202" s="10" t="s">
        <v>24</v>
      </c>
      <c r="I202" s="1" t="str">
        <f t="shared" si="4"/>
        <v>Pagado</v>
      </c>
    </row>
    <row r="203" spans="1:9" hidden="1">
      <c r="A203" s="2">
        <v>31295</v>
      </c>
      <c r="B203" s="2">
        <v>7</v>
      </c>
      <c r="D203" s="8">
        <v>5390000</v>
      </c>
      <c r="E203" s="8">
        <v>646800</v>
      </c>
      <c r="F203" s="8">
        <v>6036800</v>
      </c>
      <c r="G203" s="7">
        <v>45865</v>
      </c>
      <c r="H203" s="1" t="s">
        <v>35</v>
      </c>
      <c r="I203" s="1" t="str">
        <f t="shared" si="4"/>
        <v>Pagado</v>
      </c>
    </row>
    <row r="204" spans="1:9" hidden="1">
      <c r="A204" s="2">
        <v>885417900</v>
      </c>
      <c r="B204" s="2">
        <v>12</v>
      </c>
      <c r="C204" s="8">
        <v>27777777.777777776</v>
      </c>
      <c r="D204" s="8">
        <v>5943518.518518514</v>
      </c>
      <c r="E204" s="8">
        <v>713222.22222222167</v>
      </c>
      <c r="F204" s="8">
        <v>34434518.518518515</v>
      </c>
      <c r="G204" s="7">
        <v>46109</v>
      </c>
      <c r="H204" s="1" t="s">
        <v>24</v>
      </c>
      <c r="I204" s="1" t="str">
        <f t="shared" si="4"/>
        <v>Pagado</v>
      </c>
    </row>
    <row r="205" spans="1:9" hidden="1">
      <c r="A205" s="2">
        <v>20466</v>
      </c>
      <c r="B205" s="2">
        <v>43</v>
      </c>
      <c r="C205" s="8">
        <v>561192.61923872388</v>
      </c>
      <c r="D205" s="8">
        <v>800969.1645480619</v>
      </c>
      <c r="E205" s="8">
        <f>+D205*0.12</f>
        <v>96116.299745767421</v>
      </c>
      <c r="F205" s="8">
        <f>+C205+D205+E205</f>
        <v>1458278.0835325532</v>
      </c>
      <c r="G205" s="7">
        <v>46112</v>
      </c>
      <c r="H205" s="1" t="s">
        <v>31</v>
      </c>
      <c r="I205" s="1" t="str">
        <f t="shared" si="4"/>
        <v>Pagado</v>
      </c>
    </row>
    <row r="206" spans="1:9" hidden="1">
      <c r="A206" s="9">
        <v>66235635</v>
      </c>
      <c r="B206" s="9">
        <v>8</v>
      </c>
      <c r="C206" s="13">
        <v>0</v>
      </c>
      <c r="D206" s="13">
        <v>7808219.1799999997</v>
      </c>
      <c r="E206" s="13">
        <f>+D206*0.12</f>
        <v>936986.30159999989</v>
      </c>
      <c r="F206" s="13">
        <v>8745205.4800000004</v>
      </c>
      <c r="G206" s="11">
        <v>45718</v>
      </c>
      <c r="H206" s="10" t="s">
        <v>26</v>
      </c>
      <c r="I206" s="1" t="str">
        <f t="shared" si="4"/>
        <v>Pagado</v>
      </c>
    </row>
    <row r="207" spans="1:9" hidden="1">
      <c r="A207" s="2">
        <v>22044</v>
      </c>
      <c r="B207" s="2">
        <v>32</v>
      </c>
      <c r="C207" s="8">
        <v>813119.05840442865</v>
      </c>
      <c r="D207" s="8">
        <v>1918878.7924428193</v>
      </c>
      <c r="E207" s="8">
        <v>230265.45509313833</v>
      </c>
      <c r="F207" s="8">
        <v>2962263.3059403864</v>
      </c>
      <c r="G207" s="7">
        <v>46114</v>
      </c>
      <c r="H207" s="1" t="s">
        <v>31</v>
      </c>
      <c r="I207" s="1" t="str">
        <f t="shared" si="4"/>
        <v>Pagado</v>
      </c>
    </row>
    <row r="208" spans="1:9" hidden="1">
      <c r="A208" s="2">
        <v>119980</v>
      </c>
      <c r="B208" s="2">
        <v>16</v>
      </c>
      <c r="C208" s="8">
        <v>14166666.67</v>
      </c>
      <c r="D208" s="8">
        <v>15649315.07</v>
      </c>
      <c r="E208" s="8">
        <f>+F208-D208-C208</f>
        <v>1877917.8100000005</v>
      </c>
      <c r="F208" s="8">
        <v>31693899.550000001</v>
      </c>
      <c r="G208" s="7">
        <v>46085</v>
      </c>
      <c r="H208" s="1" t="s">
        <v>26</v>
      </c>
      <c r="I208" s="1" t="str">
        <f t="shared" si="4"/>
        <v>Pagado</v>
      </c>
    </row>
    <row r="209" spans="1:10" hidden="1">
      <c r="A209" s="2">
        <v>23700</v>
      </c>
      <c r="B209" s="2">
        <v>14</v>
      </c>
      <c r="C209" s="8">
        <v>11674730.560000001</v>
      </c>
      <c r="D209" s="8">
        <v>10947166.67</v>
      </c>
      <c r="E209" s="8">
        <v>1313660</v>
      </c>
      <c r="F209" s="8">
        <v>23935557.23</v>
      </c>
      <c r="G209" s="7">
        <v>46119</v>
      </c>
      <c r="H209" s="1" t="s">
        <v>31</v>
      </c>
      <c r="I209" s="1" t="str">
        <f t="shared" si="4"/>
        <v>Pagado</v>
      </c>
    </row>
    <row r="210" spans="1:10" hidden="1">
      <c r="A210" s="2">
        <v>20828</v>
      </c>
      <c r="B210" s="2">
        <v>40</v>
      </c>
      <c r="C210" s="8">
        <v>672513.22525504162</v>
      </c>
      <c r="D210" s="8">
        <v>1111217.3003491312</v>
      </c>
      <c r="E210" s="8">
        <f>+D210*0.105</f>
        <v>116677.81653665878</v>
      </c>
      <c r="F210" s="8">
        <f>+C210+D210+E210</f>
        <v>1900408.3421408315</v>
      </c>
      <c r="G210" s="7">
        <v>46124</v>
      </c>
      <c r="H210" s="1" t="s">
        <v>31</v>
      </c>
      <c r="I210" s="1" t="str">
        <f t="shared" si="4"/>
        <v>Pagado</v>
      </c>
    </row>
    <row r="211" spans="1:10" hidden="1">
      <c r="A211" s="2">
        <v>23996</v>
      </c>
      <c r="B211" s="2">
        <v>9</v>
      </c>
      <c r="C211" s="8">
        <v>0</v>
      </c>
      <c r="D211" s="8">
        <v>9416095.8000000007</v>
      </c>
      <c r="E211" s="8">
        <v>1130873.1100000001</v>
      </c>
      <c r="F211" s="8">
        <f>+C211+D211+E211</f>
        <v>10546968.91</v>
      </c>
      <c r="G211" s="7">
        <v>46125</v>
      </c>
      <c r="H211" s="1" t="s">
        <v>31</v>
      </c>
      <c r="I211" s="1" t="str">
        <f t="shared" si="4"/>
        <v>Pagado</v>
      </c>
    </row>
    <row r="212" spans="1:10" hidden="1">
      <c r="A212" s="9">
        <v>927328</v>
      </c>
      <c r="B212" s="9">
        <v>8</v>
      </c>
      <c r="C212" s="13">
        <v>3811454.5930369087</v>
      </c>
      <c r="D212" s="13">
        <v>10235565.050429013</v>
      </c>
      <c r="E212" s="13">
        <v>1228267.8060514815</v>
      </c>
      <c r="F212" s="13">
        <v>15275287.449517403</v>
      </c>
      <c r="G212" s="11">
        <v>45825</v>
      </c>
      <c r="H212" s="10" t="s">
        <v>32</v>
      </c>
      <c r="I212" s="1" t="str">
        <f t="shared" si="4"/>
        <v>Pagado</v>
      </c>
    </row>
    <row r="213" spans="1:10" hidden="1">
      <c r="A213" s="2">
        <v>75472831</v>
      </c>
      <c r="B213" s="2">
        <v>9</v>
      </c>
      <c r="C213" s="8">
        <v>0</v>
      </c>
      <c r="D213" s="8">
        <v>2630136.9900000002</v>
      </c>
      <c r="E213" s="8">
        <f>+F213-D213-C213</f>
        <v>315616.4299999997</v>
      </c>
      <c r="F213" s="8">
        <v>2945753.42</v>
      </c>
      <c r="G213" s="7">
        <v>45855</v>
      </c>
      <c r="H213" s="1" t="s">
        <v>26</v>
      </c>
      <c r="I213" s="1" t="str">
        <f t="shared" si="4"/>
        <v>Pagado</v>
      </c>
    </row>
    <row r="214" spans="1:10" hidden="1">
      <c r="A214" s="2">
        <v>863502400</v>
      </c>
      <c r="B214" s="2">
        <v>8</v>
      </c>
      <c r="C214" s="8">
        <v>2316682.5</v>
      </c>
      <c r="D214" s="8">
        <v>7704904.7300000004</v>
      </c>
      <c r="E214" s="8">
        <v>924588.57</v>
      </c>
      <c r="F214" s="8">
        <v>10946175.800000001</v>
      </c>
      <c r="G214" s="7">
        <v>45886</v>
      </c>
      <c r="H214" s="1" t="s">
        <v>24</v>
      </c>
      <c r="I214" s="1" t="str">
        <f t="shared" si="4"/>
        <v>Pagado</v>
      </c>
    </row>
    <row r="215" spans="1:10" hidden="1">
      <c r="A215" s="2">
        <v>936549900</v>
      </c>
      <c r="B215" s="2">
        <v>5</v>
      </c>
      <c r="C215" s="8">
        <v>22222222.222222224</v>
      </c>
      <c r="D215" s="28">
        <v>20804489.464285716</v>
      </c>
      <c r="E215" s="28">
        <v>2496538.7357142861</v>
      </c>
      <c r="F215" s="28">
        <v>45523250.420000002</v>
      </c>
      <c r="G215" s="7">
        <v>46117</v>
      </c>
      <c r="H215" s="1" t="s">
        <v>24</v>
      </c>
      <c r="I215" s="1" t="str">
        <f t="shared" ref="I215:I220" si="5">IF(G215&lt;=$K$1,"Pagado","Pendiente")</f>
        <v>Pagado</v>
      </c>
      <c r="J215" s="15" t="s">
        <v>129</v>
      </c>
    </row>
    <row r="216" spans="1:10" hidden="1">
      <c r="A216" s="2">
        <v>23790</v>
      </c>
      <c r="B216" s="2">
        <v>13</v>
      </c>
      <c r="C216" s="8">
        <v>11295708.644366875</v>
      </c>
      <c r="D216" s="8">
        <v>11499525.450298484</v>
      </c>
      <c r="E216" s="8">
        <v>1379943.0540358182</v>
      </c>
      <c r="F216" s="8">
        <v>24175177.148701176</v>
      </c>
      <c r="G216" s="7">
        <v>46129</v>
      </c>
      <c r="H216" s="1" t="s">
        <v>31</v>
      </c>
      <c r="I216" s="1" t="str">
        <f t="shared" si="5"/>
        <v>Pagado</v>
      </c>
    </row>
    <row r="217" spans="1:10" hidden="1">
      <c r="A217" s="2">
        <v>24004</v>
      </c>
      <c r="B217" s="2">
        <v>9</v>
      </c>
      <c r="C217" s="8">
        <v>1035797.53</v>
      </c>
      <c r="D217" s="8">
        <v>4738712.04</v>
      </c>
      <c r="E217" s="8">
        <v>569119.31000000006</v>
      </c>
      <c r="F217" s="8">
        <v>6343628.8799999999</v>
      </c>
      <c r="G217" s="7">
        <v>46129</v>
      </c>
      <c r="H217" s="1" t="s">
        <v>31</v>
      </c>
      <c r="I217" s="1" t="str">
        <f t="shared" si="5"/>
        <v>Pagado</v>
      </c>
    </row>
    <row r="218" spans="1:10" hidden="1">
      <c r="A218" s="9">
        <v>65210751</v>
      </c>
      <c r="B218" s="9">
        <v>8</v>
      </c>
      <c r="C218" s="13">
        <v>0</v>
      </c>
      <c r="D218" s="13">
        <v>8541095.8900000006</v>
      </c>
      <c r="E218" s="13">
        <v>1024931.5099999998</v>
      </c>
      <c r="F218" s="13">
        <v>9566027.4000000004</v>
      </c>
      <c r="G218" s="11">
        <v>45706</v>
      </c>
      <c r="H218" s="10" t="s">
        <v>26</v>
      </c>
      <c r="I218" s="1" t="str">
        <f t="shared" si="5"/>
        <v>Pagado</v>
      </c>
      <c r="J218" s="10"/>
    </row>
    <row r="219" spans="1:10" hidden="1">
      <c r="A219" s="2">
        <v>23430</v>
      </c>
      <c r="B219" s="2">
        <v>21</v>
      </c>
      <c r="C219" s="8">
        <v>578968.75</v>
      </c>
      <c r="D219" s="8">
        <v>4010455.5</v>
      </c>
      <c r="E219" s="8">
        <v>481254.66</v>
      </c>
      <c r="F219" s="8">
        <v>5070678.91</v>
      </c>
      <c r="G219" s="7">
        <v>46131</v>
      </c>
      <c r="H219" s="1" t="s">
        <v>31</v>
      </c>
      <c r="I219" s="1" t="str">
        <f t="shared" si="5"/>
        <v>Pagado</v>
      </c>
    </row>
    <row r="220" spans="1:10" hidden="1">
      <c r="A220" s="2">
        <v>23467</v>
      </c>
      <c r="B220" s="2">
        <v>20</v>
      </c>
      <c r="C220" s="8">
        <v>2171132.84</v>
      </c>
      <c r="D220" s="8">
        <v>15039208.119999999</v>
      </c>
      <c r="E220" s="8">
        <v>1804704.97</v>
      </c>
      <c r="F220" s="8">
        <v>19015045.93</v>
      </c>
      <c r="G220" s="7">
        <v>46131</v>
      </c>
      <c r="H220" s="1" t="s">
        <v>31</v>
      </c>
      <c r="I220" s="1" t="str">
        <f t="shared" si="5"/>
        <v>Pagado</v>
      </c>
    </row>
    <row r="221" spans="1:10" hidden="1">
      <c r="A221" s="2">
        <v>863502600</v>
      </c>
      <c r="B221" s="2">
        <v>16</v>
      </c>
      <c r="C221" s="8">
        <v>1493890.64</v>
      </c>
      <c r="D221" s="8">
        <v>3689688.96</v>
      </c>
      <c r="E221" s="8">
        <v>442762.67</v>
      </c>
      <c r="F221" s="8">
        <v>5626342.2699999996</v>
      </c>
      <c r="G221" s="7">
        <v>46129</v>
      </c>
      <c r="H221" s="1" t="s">
        <v>24</v>
      </c>
      <c r="I221" s="1" t="str">
        <f t="shared" ref="I221:I284" si="6">IF(G221&lt;=$K$1,"Pagado","Pendiente")</f>
        <v>Pagado</v>
      </c>
    </row>
    <row r="222" spans="1:10" hidden="1">
      <c r="A222" s="2">
        <v>394949</v>
      </c>
      <c r="B222" s="2">
        <v>16</v>
      </c>
      <c r="C222" s="8">
        <v>997981.64</v>
      </c>
      <c r="D222" s="8">
        <v>3908335.65</v>
      </c>
      <c r="E222" s="8">
        <v>469000.27</v>
      </c>
      <c r="F222" s="8">
        <v>5375317.5599999996</v>
      </c>
      <c r="G222" s="7">
        <v>46138</v>
      </c>
      <c r="H222" s="1" t="s">
        <v>30</v>
      </c>
      <c r="I222" s="1" t="str">
        <f t="shared" si="6"/>
        <v>Pagado</v>
      </c>
    </row>
    <row r="223" spans="1:10" hidden="1">
      <c r="A223" s="9">
        <v>347916</v>
      </c>
      <c r="B223" s="9">
        <v>8</v>
      </c>
      <c r="C223" s="13">
        <v>1990236.6812225254</v>
      </c>
      <c r="D223" s="13">
        <v>6462947.0870369012</v>
      </c>
      <c r="E223" s="13">
        <v>775553.65044442809</v>
      </c>
      <c r="F223" s="13">
        <v>9228737.4187038541</v>
      </c>
      <c r="G223" s="11">
        <v>45715</v>
      </c>
      <c r="H223" s="10" t="s">
        <v>30</v>
      </c>
      <c r="I223" s="1" t="str">
        <f t="shared" si="6"/>
        <v>Pagado</v>
      </c>
    </row>
    <row r="224" spans="1:10" hidden="1">
      <c r="A224" s="9">
        <v>2537844</v>
      </c>
      <c r="B224" s="9">
        <v>8</v>
      </c>
      <c r="C224" s="13">
        <v>2500000</v>
      </c>
      <c r="D224" s="13">
        <v>2527397.2712585032</v>
      </c>
      <c r="E224" s="13">
        <v>303287.6725510204</v>
      </c>
      <c r="F224" s="13">
        <v>5330684.9438095232</v>
      </c>
      <c r="G224" s="11">
        <v>45623</v>
      </c>
      <c r="H224" s="10" t="s">
        <v>29</v>
      </c>
      <c r="I224" s="1" t="str">
        <f t="shared" si="6"/>
        <v>Pagado</v>
      </c>
    </row>
    <row r="225" spans="1:9" hidden="1">
      <c r="A225" s="9">
        <v>843950300</v>
      </c>
      <c r="B225" s="9">
        <v>8</v>
      </c>
      <c r="C225" s="13">
        <v>1804336.25</v>
      </c>
      <c r="D225" s="13">
        <v>5971033.1500000004</v>
      </c>
      <c r="E225" s="13">
        <f>+F225-D225-C225</f>
        <v>716523.98000000045</v>
      </c>
      <c r="F225" s="13">
        <v>8491893.3800000008</v>
      </c>
      <c r="G225" s="11">
        <v>45804</v>
      </c>
      <c r="H225" s="10" t="s">
        <v>24</v>
      </c>
      <c r="I225" s="1" t="str">
        <f t="shared" si="6"/>
        <v>Pagado</v>
      </c>
    </row>
    <row r="226" spans="1:9" hidden="1">
      <c r="A226" s="2">
        <v>31295</v>
      </c>
      <c r="B226" s="2">
        <v>8</v>
      </c>
      <c r="D226" s="8">
        <v>5390000</v>
      </c>
      <c r="E226" s="8">
        <v>646800</v>
      </c>
      <c r="F226" s="8">
        <v>6036800</v>
      </c>
      <c r="G226" s="7">
        <v>45896</v>
      </c>
      <c r="H226" s="1" t="s">
        <v>35</v>
      </c>
      <c r="I226" s="1" t="str">
        <f t="shared" si="6"/>
        <v>Pagado</v>
      </c>
    </row>
    <row r="227" spans="1:9" hidden="1">
      <c r="A227" s="2">
        <v>863502400</v>
      </c>
      <c r="B227" s="2">
        <v>16</v>
      </c>
      <c r="C227" s="8">
        <v>2888188.58</v>
      </c>
      <c r="D227" s="8">
        <v>7133398.6500000004</v>
      </c>
      <c r="E227" s="8">
        <v>856007.84</v>
      </c>
      <c r="F227" s="8">
        <v>10877595.07</v>
      </c>
      <c r="G227" s="7">
        <v>46129</v>
      </c>
      <c r="H227" s="1" t="s">
        <v>24</v>
      </c>
      <c r="I227" s="1" t="str">
        <f t="shared" si="6"/>
        <v>Pagado</v>
      </c>
    </row>
    <row r="228" spans="1:9" s="10" customFormat="1" hidden="1">
      <c r="A228" s="9">
        <v>347916</v>
      </c>
      <c r="B228" s="9">
        <v>9</v>
      </c>
      <c r="C228" s="13">
        <v>2035017.0065500317</v>
      </c>
      <c r="D228" s="13">
        <v>6418166.7617093949</v>
      </c>
      <c r="E228" s="13">
        <v>770180.01140512736</v>
      </c>
      <c r="F228" s="13">
        <v>9223363.7796645537</v>
      </c>
      <c r="G228" s="11">
        <v>45743</v>
      </c>
      <c r="H228" s="10" t="s">
        <v>30</v>
      </c>
      <c r="I228" s="1" t="str">
        <f t="shared" si="6"/>
        <v>Pagado</v>
      </c>
    </row>
    <row r="229" spans="1:9" s="10" customFormat="1" hidden="1">
      <c r="A229" s="9">
        <v>347916</v>
      </c>
      <c r="B229" s="9">
        <v>10</v>
      </c>
      <c r="C229" s="13">
        <v>2080804.8891974073</v>
      </c>
      <c r="D229" s="13">
        <v>6372378.8790620193</v>
      </c>
      <c r="E229" s="13">
        <v>764685.46548744233</v>
      </c>
      <c r="F229" s="13">
        <v>9217869.2337468695</v>
      </c>
      <c r="G229" s="11">
        <v>45774</v>
      </c>
      <c r="H229" s="10" t="s">
        <v>30</v>
      </c>
      <c r="I229" s="1" t="str">
        <f t="shared" si="6"/>
        <v>Pagado</v>
      </c>
    </row>
    <row r="230" spans="1:9" s="10" customFormat="1" hidden="1">
      <c r="A230" s="9">
        <v>347916</v>
      </c>
      <c r="B230" s="9">
        <v>11</v>
      </c>
      <c r="C230" s="13">
        <v>2127622.9992043488</v>
      </c>
      <c r="D230" s="13">
        <v>6325560.7690550778</v>
      </c>
      <c r="E230" s="13">
        <v>759067.2922866093</v>
      </c>
      <c r="F230" s="13">
        <v>9212251.0605460368</v>
      </c>
      <c r="G230" s="11">
        <v>45804</v>
      </c>
      <c r="H230" s="10" t="s">
        <v>30</v>
      </c>
      <c r="I230" s="1" t="str">
        <f t="shared" si="6"/>
        <v>Pagado</v>
      </c>
    </row>
    <row r="231" spans="1:9" s="10" customFormat="1" hidden="1">
      <c r="A231" s="9">
        <v>347916</v>
      </c>
      <c r="B231" s="9">
        <v>12</v>
      </c>
      <c r="C231" s="13">
        <v>2175494.516686447</v>
      </c>
      <c r="D231" s="13">
        <v>6277689.2515729796</v>
      </c>
      <c r="E231" s="13">
        <v>753322.71018875751</v>
      </c>
      <c r="F231" s="13">
        <v>9206506.4784481842</v>
      </c>
      <c r="G231" s="11">
        <v>45835</v>
      </c>
      <c r="H231" s="10" t="s">
        <v>30</v>
      </c>
      <c r="I231" s="1" t="str">
        <f t="shared" si="6"/>
        <v>Pagado</v>
      </c>
    </row>
    <row r="232" spans="1:9" s="10" customFormat="1" hidden="1">
      <c r="A232" s="2">
        <v>347916</v>
      </c>
      <c r="B232" s="2">
        <v>13</v>
      </c>
      <c r="C232" s="8">
        <v>2224443.1433118917</v>
      </c>
      <c r="D232" s="8">
        <v>6228740.6249475349</v>
      </c>
      <c r="E232" s="8">
        <v>747448.87499370414</v>
      </c>
      <c r="F232" s="8">
        <v>9200632.6432531308</v>
      </c>
      <c r="G232" s="7">
        <v>45865</v>
      </c>
      <c r="H232" s="1" t="s">
        <v>30</v>
      </c>
      <c r="I232" s="1" t="str">
        <f t="shared" si="6"/>
        <v>Pagado</v>
      </c>
    </row>
    <row r="233" spans="1:9" s="10" customFormat="1" hidden="1">
      <c r="A233" s="2">
        <v>347916</v>
      </c>
      <c r="B233" s="2">
        <v>14</v>
      </c>
      <c r="C233" s="8">
        <v>2274493.1140364092</v>
      </c>
      <c r="D233" s="8">
        <v>6178690.6542230174</v>
      </c>
      <c r="E233" s="8">
        <v>741442.87850676209</v>
      </c>
      <c r="F233" s="8">
        <v>9194626.6467661895</v>
      </c>
      <c r="G233" s="7">
        <v>45896</v>
      </c>
      <c r="H233" s="1" t="s">
        <v>30</v>
      </c>
      <c r="I233" s="1" t="str">
        <f t="shared" si="6"/>
        <v>Pagado</v>
      </c>
    </row>
    <row r="234" spans="1:9" s="10" customFormat="1" hidden="1">
      <c r="A234" s="9">
        <v>347916</v>
      </c>
      <c r="B234" s="9">
        <v>15</v>
      </c>
      <c r="C234" s="13">
        <v>2325669.2091022283</v>
      </c>
      <c r="D234" s="13">
        <v>6127514.5591571983</v>
      </c>
      <c r="E234" s="13">
        <v>735301.74709886382</v>
      </c>
      <c r="F234" s="13">
        <v>9188485.5153582897</v>
      </c>
      <c r="G234" s="11">
        <v>45927</v>
      </c>
      <c r="H234" s="10" t="s">
        <v>30</v>
      </c>
      <c r="I234" s="1" t="str">
        <f t="shared" si="6"/>
        <v>Pagado</v>
      </c>
    </row>
    <row r="235" spans="1:9" s="10" customFormat="1" hidden="1">
      <c r="A235" s="2">
        <v>347916</v>
      </c>
      <c r="B235" s="2">
        <v>16</v>
      </c>
      <c r="C235" s="8">
        <v>2377996.766307028</v>
      </c>
      <c r="D235" s="8">
        <v>6075187.0019523986</v>
      </c>
      <c r="E235" s="8">
        <v>729022.44023428787</v>
      </c>
      <c r="F235" s="8">
        <v>9182206.2084937152</v>
      </c>
      <c r="G235" s="7">
        <v>45957</v>
      </c>
      <c r="H235" s="1" t="s">
        <v>30</v>
      </c>
      <c r="I235" s="1" t="str">
        <f t="shared" si="6"/>
        <v>Pagado</v>
      </c>
    </row>
    <row r="236" spans="1:9" s="10" customFormat="1" hidden="1">
      <c r="A236" s="2">
        <v>347916</v>
      </c>
      <c r="B236" s="2">
        <v>17</v>
      </c>
      <c r="C236" s="8">
        <v>2431501.6935489364</v>
      </c>
      <c r="D236" s="8">
        <v>6021682.0747104902</v>
      </c>
      <c r="E236" s="8">
        <v>722601.8489652588</v>
      </c>
      <c r="F236" s="8">
        <v>9175785.6172246858</v>
      </c>
      <c r="G236" s="7">
        <v>45988</v>
      </c>
      <c r="H236" s="1" t="s">
        <v>30</v>
      </c>
      <c r="I236" s="1" t="str">
        <f t="shared" si="6"/>
        <v>Pagado</v>
      </c>
    </row>
    <row r="237" spans="1:9" s="10" customFormat="1" hidden="1">
      <c r="A237" s="2">
        <v>347916</v>
      </c>
      <c r="B237" s="2">
        <v>18</v>
      </c>
      <c r="C237" s="8">
        <v>2486210.4816537872</v>
      </c>
      <c r="D237" s="8">
        <v>5997919.3824519748</v>
      </c>
      <c r="E237" s="8">
        <v>719750.33</v>
      </c>
      <c r="F237" s="8">
        <v>9203880.1899999976</v>
      </c>
      <c r="G237" s="7">
        <v>46018</v>
      </c>
      <c r="H237" s="1" t="s">
        <v>30</v>
      </c>
      <c r="I237" s="1" t="str">
        <f t="shared" si="6"/>
        <v>Pagado</v>
      </c>
    </row>
    <row r="238" spans="1:9" s="10" customFormat="1" hidden="1">
      <c r="A238" s="2">
        <v>347916</v>
      </c>
      <c r="B238" s="2">
        <v>19</v>
      </c>
      <c r="C238" s="8">
        <v>2542150.2174909972</v>
      </c>
      <c r="D238" s="8">
        <v>5911033.5507684294</v>
      </c>
      <c r="E238" s="8">
        <v>709324.02609221148</v>
      </c>
      <c r="F238" s="8">
        <v>9162507.7943516374</v>
      </c>
      <c r="G238" s="7">
        <v>46049</v>
      </c>
      <c r="H238" s="1" t="s">
        <v>30</v>
      </c>
      <c r="I238" s="1" t="str">
        <f t="shared" si="6"/>
        <v>Pagado</v>
      </c>
    </row>
    <row r="239" spans="1:9" s="10" customFormat="1" hidden="1">
      <c r="A239" s="2">
        <v>347916</v>
      </c>
      <c r="B239" s="2">
        <v>20</v>
      </c>
      <c r="C239" s="8">
        <v>2599348.597384545</v>
      </c>
      <c r="D239" s="8">
        <v>5853835.1708748816</v>
      </c>
      <c r="E239" s="8">
        <v>702460.22050498577</v>
      </c>
      <c r="F239" s="8">
        <v>9155643.9887644127</v>
      </c>
      <c r="G239" s="7">
        <v>46080</v>
      </c>
      <c r="H239" s="1" t="s">
        <v>30</v>
      </c>
      <c r="I239" s="1" t="str">
        <f t="shared" si="6"/>
        <v>Pagado</v>
      </c>
    </row>
    <row r="240" spans="1:9" hidden="1">
      <c r="A240" s="2">
        <v>347916</v>
      </c>
      <c r="B240" s="2">
        <v>21</v>
      </c>
      <c r="C240" s="8">
        <v>2657833.940825697</v>
      </c>
      <c r="D240" s="8">
        <v>5795349.8274337295</v>
      </c>
      <c r="E240" s="8">
        <v>695441.97929204756</v>
      </c>
      <c r="F240" s="8">
        <v>9148625.7475514747</v>
      </c>
      <c r="G240" s="7">
        <v>46108</v>
      </c>
      <c r="H240" s="1" t="s">
        <v>30</v>
      </c>
      <c r="I240" s="1" t="str">
        <f t="shared" si="6"/>
        <v>Pagado</v>
      </c>
    </row>
    <row r="241" spans="1:9" hidden="1">
      <c r="A241" s="2">
        <v>347916</v>
      </c>
      <c r="B241" s="2">
        <v>22</v>
      </c>
      <c r="C241" s="8">
        <v>2717635.2044942752</v>
      </c>
      <c r="D241" s="8">
        <v>5735548.5637651514</v>
      </c>
      <c r="E241" s="8">
        <v>688265.82765181817</v>
      </c>
      <c r="F241" s="8">
        <v>9141449.5959112439</v>
      </c>
      <c r="G241" s="7">
        <v>46139</v>
      </c>
      <c r="H241" s="1" t="s">
        <v>30</v>
      </c>
      <c r="I241" s="1" t="str">
        <f t="shared" si="6"/>
        <v>Pagado</v>
      </c>
    </row>
    <row r="242" spans="1:9" hidden="1">
      <c r="A242" s="2">
        <v>20466</v>
      </c>
      <c r="B242" s="2">
        <v>44</v>
      </c>
      <c r="C242" s="8">
        <v>578028.3978158856</v>
      </c>
      <c r="D242" s="8">
        <v>784133.38597090018</v>
      </c>
      <c r="E242" s="8">
        <f>+D242*0.12</f>
        <v>94096.006316508021</v>
      </c>
      <c r="F242" s="8">
        <f>+C242+D242+E242</f>
        <v>1456257.7901032937</v>
      </c>
      <c r="G242" s="7">
        <v>46142</v>
      </c>
      <c r="H242" s="1" t="s">
        <v>31</v>
      </c>
      <c r="I242" s="1" t="str">
        <f t="shared" si="6"/>
        <v>Pendiente</v>
      </c>
    </row>
    <row r="243" spans="1:9" hidden="1">
      <c r="A243" s="9">
        <v>66235635</v>
      </c>
      <c r="B243" s="9">
        <v>9</v>
      </c>
      <c r="C243" s="13">
        <v>0</v>
      </c>
      <c r="D243" s="13">
        <v>7547945.21</v>
      </c>
      <c r="E243" s="13">
        <f>+D243*0.12</f>
        <v>905753.42519999994</v>
      </c>
      <c r="F243" s="13">
        <f>+D243+E243</f>
        <v>8453698.6351999994</v>
      </c>
      <c r="G243" s="11">
        <v>45749</v>
      </c>
      <c r="H243" s="10" t="s">
        <v>26</v>
      </c>
      <c r="I243" s="1" t="str">
        <f t="shared" si="6"/>
        <v>Pagado</v>
      </c>
    </row>
    <row r="244" spans="1:9">
      <c r="A244" s="2">
        <v>394949</v>
      </c>
      <c r="B244" s="2">
        <v>17</v>
      </c>
      <c r="C244" s="8">
        <v>1026257.78</v>
      </c>
      <c r="D244" s="8">
        <v>3880059.51</v>
      </c>
      <c r="E244" s="8">
        <v>465607.13</v>
      </c>
      <c r="F244" s="8">
        <v>5371924.4199999999</v>
      </c>
      <c r="G244" s="7">
        <v>46168</v>
      </c>
      <c r="H244" s="1" t="s">
        <v>30</v>
      </c>
      <c r="I244" s="1" t="str">
        <f>IF(G244&lt;=$K$1,"Pagado","Pendiente")</f>
        <v>Pendiente</v>
      </c>
    </row>
    <row r="245" spans="1:9" hidden="1">
      <c r="A245" s="2">
        <v>119980</v>
      </c>
      <c r="B245" s="2">
        <v>17</v>
      </c>
      <c r="C245" s="8">
        <v>14166666.67</v>
      </c>
      <c r="D245" s="8">
        <v>18033972.600000001</v>
      </c>
      <c r="E245" s="8">
        <f>+F245-D245-C245</f>
        <v>2164076.7099999953</v>
      </c>
      <c r="F245" s="8">
        <v>34364715.979999997</v>
      </c>
      <c r="G245" s="7">
        <v>46116</v>
      </c>
      <c r="H245" s="1" t="s">
        <v>26</v>
      </c>
      <c r="I245" s="1" t="str">
        <f>IF(G245&lt;=$K$1,"Pagado","Pendiente")</f>
        <v>Pagado</v>
      </c>
    </row>
    <row r="246" spans="1:9">
      <c r="A246" s="2">
        <v>347916</v>
      </c>
      <c r="B246" s="2">
        <v>23</v>
      </c>
      <c r="C246" s="8">
        <v>2778781.9965953967</v>
      </c>
      <c r="D246" s="8">
        <v>5674401.7716640299</v>
      </c>
      <c r="E246" s="8">
        <v>680928.21259968355</v>
      </c>
      <c r="F246" s="8">
        <v>9134111.9808591101</v>
      </c>
      <c r="G246" s="7">
        <v>46169</v>
      </c>
      <c r="H246" s="1" t="s">
        <v>30</v>
      </c>
      <c r="I246" s="1" t="str">
        <f>IF(G246&lt;=$K$1,"Pagado","Pendiente")</f>
        <v>Pendiente</v>
      </c>
    </row>
    <row r="247" spans="1:9">
      <c r="A247" s="31">
        <v>272635</v>
      </c>
      <c r="B247" s="2">
        <v>7</v>
      </c>
      <c r="C247" s="8">
        <v>2369205.9783951398</v>
      </c>
      <c r="D247" s="8">
        <v>13191416.639762962</v>
      </c>
      <c r="E247" s="8">
        <v>1582969.9967715554</v>
      </c>
      <c r="F247" s="8">
        <v>17143592.614929657</v>
      </c>
      <c r="G247" s="7">
        <v>46149</v>
      </c>
      <c r="H247" s="1" t="s">
        <v>30</v>
      </c>
      <c r="I247" s="1" t="str">
        <f>IF(G247&lt;=$K$1,"Pagado","Pendiente")</f>
        <v>Pendiente</v>
      </c>
    </row>
    <row r="248" spans="1:9">
      <c r="A248" s="2">
        <v>281431</v>
      </c>
      <c r="B248" s="2">
        <v>5</v>
      </c>
      <c r="C248" s="8">
        <v>1114689.9995262036</v>
      </c>
      <c r="D248" s="8">
        <v>7124917.4823461743</v>
      </c>
      <c r="E248" s="8">
        <v>854990.09788154089</v>
      </c>
      <c r="F248" s="8">
        <v>9094597.5797539186</v>
      </c>
      <c r="G248" s="7">
        <v>46158</v>
      </c>
      <c r="H248" s="1" t="s">
        <v>30</v>
      </c>
      <c r="I248" s="1" t="str">
        <f>IF(G248&lt;=$K$1,"Pagado","Pendiente")</f>
        <v>Pendiente</v>
      </c>
    </row>
    <row r="249" spans="1:9" hidden="1">
      <c r="A249" s="2">
        <v>927328</v>
      </c>
      <c r="B249" s="2">
        <v>9</v>
      </c>
      <c r="C249" s="8">
        <v>3906423.336646745</v>
      </c>
      <c r="D249" s="8">
        <v>10140596.306819176</v>
      </c>
      <c r="E249" s="8">
        <v>1216871.5568183011</v>
      </c>
      <c r="F249" s="8">
        <v>15263891.200284222</v>
      </c>
      <c r="G249" s="7">
        <v>45855</v>
      </c>
      <c r="H249" s="1" t="s">
        <v>32</v>
      </c>
      <c r="I249" s="1" t="str">
        <f>IF(G249&lt;=$K$1,"Pagado","Pendiente")</f>
        <v>Pagado</v>
      </c>
    </row>
    <row r="250" spans="1:9" hidden="1">
      <c r="A250" s="2">
        <v>75472831</v>
      </c>
      <c r="B250" s="2">
        <v>10</v>
      </c>
      <c r="C250" s="8">
        <v>0</v>
      </c>
      <c r="D250" s="8">
        <v>2805479.45</v>
      </c>
      <c r="E250" s="8">
        <f>+F250-D250-C250</f>
        <v>336657.5299999998</v>
      </c>
      <c r="F250" s="8">
        <v>3142136.98</v>
      </c>
      <c r="G250" s="7">
        <v>45886</v>
      </c>
      <c r="H250" s="1" t="s">
        <v>26</v>
      </c>
      <c r="I250" s="1" t="str">
        <f>IF(G250&lt;=$K$1,"Pagado","Pendiente")</f>
        <v>Pagado</v>
      </c>
    </row>
    <row r="251" spans="1:9" hidden="1">
      <c r="A251" s="2">
        <v>863502400</v>
      </c>
      <c r="B251" s="2">
        <v>9</v>
      </c>
      <c r="C251" s="8">
        <v>2381422.19</v>
      </c>
      <c r="D251" s="8">
        <v>7640165.04</v>
      </c>
      <c r="E251" s="8">
        <v>916819.81</v>
      </c>
      <c r="F251" s="8">
        <v>10938407.039999999</v>
      </c>
      <c r="G251" s="7">
        <v>45917</v>
      </c>
      <c r="H251" s="1" t="s">
        <v>24</v>
      </c>
      <c r="I251" s="1" t="str">
        <f>IF(G251&lt;=$K$1,"Pagado","Pendiente")</f>
        <v>Pagado</v>
      </c>
    </row>
    <row r="252" spans="1:9">
      <c r="A252" s="2">
        <v>292466</v>
      </c>
      <c r="B252" s="2">
        <v>1</v>
      </c>
      <c r="C252" s="8">
        <v>5779218.9400000004</v>
      </c>
      <c r="D252" s="8">
        <v>6083333.3300000001</v>
      </c>
      <c r="E252" s="8">
        <v>729999.98</v>
      </c>
      <c r="F252" s="8">
        <v>12592552.25</v>
      </c>
      <c r="G252" s="7">
        <v>46150</v>
      </c>
      <c r="H252" s="1" t="s">
        <v>30</v>
      </c>
      <c r="I252" s="1" t="str">
        <f>IF(G252&lt;=$K$1,"Pagado","Pendiente")</f>
        <v>Pendiente</v>
      </c>
    </row>
    <row r="253" spans="1:9">
      <c r="A253" s="2">
        <v>22044</v>
      </c>
      <c r="B253" s="2">
        <v>33</v>
      </c>
      <c r="C253" s="8">
        <v>837512.63015656173</v>
      </c>
      <c r="D253" s="8">
        <v>1894485.2206906863</v>
      </c>
      <c r="E253" s="8">
        <v>227338.22648288234</v>
      </c>
      <c r="F253" s="8">
        <v>2959336.0773301302</v>
      </c>
      <c r="G253" s="7">
        <v>46144</v>
      </c>
      <c r="H253" s="1" t="s">
        <v>31</v>
      </c>
      <c r="I253" s="1" t="str">
        <f>IF(G253&lt;=$K$1,"Pagado","Pendiente")</f>
        <v>Pendiente</v>
      </c>
    </row>
    <row r="254" spans="1:9">
      <c r="A254" s="2">
        <v>23700</v>
      </c>
      <c r="B254" s="2">
        <v>15</v>
      </c>
      <c r="C254" s="8">
        <v>12015376.810000001</v>
      </c>
      <c r="D254" s="8">
        <v>10606520.42</v>
      </c>
      <c r="E254" s="8">
        <v>1272782.45</v>
      </c>
      <c r="F254" s="8">
        <v>23894679.68</v>
      </c>
      <c r="G254" s="7">
        <v>46149</v>
      </c>
      <c r="H254" s="1" t="s">
        <v>31</v>
      </c>
      <c r="I254" s="1" t="str">
        <f>IF(G254&lt;=$K$1,"Pagado","Pendiente")</f>
        <v>Pendiente</v>
      </c>
    </row>
    <row r="255" spans="1:9" hidden="1">
      <c r="A255" s="9">
        <v>65210751</v>
      </c>
      <c r="B255" s="9">
        <v>9</v>
      </c>
      <c r="C255" s="13">
        <v>0</v>
      </c>
      <c r="D255" s="13">
        <v>8246575.3399999999</v>
      </c>
      <c r="E255" s="13">
        <f>+D255*0.12</f>
        <v>989589.04079999996</v>
      </c>
      <c r="F255" s="13">
        <v>9236164.3800000008</v>
      </c>
      <c r="G255" s="11">
        <v>45734</v>
      </c>
      <c r="H255" s="10" t="s">
        <v>26</v>
      </c>
      <c r="I255" s="1" t="str">
        <f>IF(G255&lt;=$K$1,"Pagado","Pendiente")</f>
        <v>Pagado</v>
      </c>
    </row>
    <row r="256" spans="1:9">
      <c r="A256" s="2">
        <v>20828</v>
      </c>
      <c r="B256" s="2">
        <v>41</v>
      </c>
      <c r="C256" s="8">
        <v>692688.62201269297</v>
      </c>
      <c r="D256" s="8">
        <v>1091041.9035914799</v>
      </c>
      <c r="E256" s="8">
        <f>+D256*0.105</f>
        <v>114559.39987710539</v>
      </c>
      <c r="F256" s="8">
        <f>+C256+D256+E256</f>
        <v>1898289.9254812782</v>
      </c>
      <c r="G256" s="7">
        <v>46154</v>
      </c>
      <c r="H256" s="1" t="s">
        <v>31</v>
      </c>
      <c r="I256" s="1" t="str">
        <f>IF(G256&lt;=$K$1,"Pagado","Pendiente")</f>
        <v>Pendiente</v>
      </c>
    </row>
    <row r="257" spans="1:9">
      <c r="A257" s="2">
        <v>23996</v>
      </c>
      <c r="B257" s="2">
        <v>10</v>
      </c>
      <c r="C257" s="8">
        <v>0</v>
      </c>
      <c r="D257" s="8">
        <v>9416095.8000000007</v>
      </c>
      <c r="E257" s="8">
        <v>1130873.1100000001</v>
      </c>
      <c r="F257" s="8">
        <f>+C257+D257+E257</f>
        <v>10546968.91</v>
      </c>
      <c r="G257" s="7">
        <v>46155</v>
      </c>
      <c r="H257" s="1" t="s">
        <v>31</v>
      </c>
      <c r="I257" s="1" t="str">
        <f>IF(G257&lt;=$K$1,"Pagado","Pendiente")</f>
        <v>Pendiente</v>
      </c>
    </row>
    <row r="258" spans="1:9">
      <c r="A258" s="2">
        <v>23790</v>
      </c>
      <c r="B258" s="2">
        <v>14</v>
      </c>
      <c r="C258" s="8">
        <v>11631049.994746517</v>
      </c>
      <c r="D258" s="8">
        <v>11164184.099918842</v>
      </c>
      <c r="E258" s="8">
        <v>1339702.0919902611</v>
      </c>
      <c r="F258" s="8">
        <v>24134936.186655622</v>
      </c>
      <c r="G258" s="7">
        <v>46159</v>
      </c>
      <c r="H258" s="1" t="s">
        <v>31</v>
      </c>
      <c r="I258" s="1" t="str">
        <f>IF(G258&lt;=$K$1,"Pagado","Pendiente")</f>
        <v>Pendiente</v>
      </c>
    </row>
    <row r="259" spans="1:9">
      <c r="A259" s="2">
        <v>24004</v>
      </c>
      <c r="B259" s="2">
        <v>10</v>
      </c>
      <c r="C259" s="8">
        <v>1070596.07</v>
      </c>
      <c r="D259" s="8">
        <v>4703913.5</v>
      </c>
      <c r="E259" s="8">
        <v>564940.01</v>
      </c>
      <c r="F259" s="8">
        <v>6339449.5800000001</v>
      </c>
      <c r="G259" s="7">
        <v>46159</v>
      </c>
      <c r="H259" s="1" t="s">
        <v>31</v>
      </c>
      <c r="I259" s="1" t="str">
        <f>IF(G259&lt;=$K$1,"Pagado","Pendiente")</f>
        <v>Pendiente</v>
      </c>
    </row>
    <row r="260" spans="1:9">
      <c r="A260" s="2">
        <v>23430</v>
      </c>
      <c r="B260" s="2">
        <v>22</v>
      </c>
      <c r="C260" s="8">
        <v>598003.34</v>
      </c>
      <c r="D260" s="8">
        <v>3991420.91</v>
      </c>
      <c r="E260" s="8">
        <v>478970.51</v>
      </c>
      <c r="F260" s="8">
        <v>5068394.76</v>
      </c>
      <c r="G260" s="7">
        <v>46161</v>
      </c>
      <c r="H260" s="1" t="s">
        <v>31</v>
      </c>
      <c r="I260" s="1" t="str">
        <f>IF(G260&lt;=$K$1,"Pagado","Pendiente")</f>
        <v>Pendiente</v>
      </c>
    </row>
    <row r="261" spans="1:9" hidden="1">
      <c r="A261" s="9">
        <v>2537844</v>
      </c>
      <c r="B261" s="9">
        <v>9</v>
      </c>
      <c r="C261" s="13">
        <v>2500000</v>
      </c>
      <c r="D261" s="13">
        <v>2465753.4353741491</v>
      </c>
      <c r="E261" s="13">
        <v>295890.41224489786</v>
      </c>
      <c r="F261" s="13">
        <v>5261643.8476190474</v>
      </c>
      <c r="G261" s="11">
        <v>45653</v>
      </c>
      <c r="H261" s="10" t="s">
        <v>29</v>
      </c>
      <c r="I261" s="1" t="str">
        <f>IF(G261&lt;=$K$1,"Pagado","Pendiente")</f>
        <v>Pagado</v>
      </c>
    </row>
    <row r="262" spans="1:9" hidden="1">
      <c r="A262" s="9">
        <v>843950300</v>
      </c>
      <c r="B262" s="9">
        <v>9</v>
      </c>
      <c r="C262" s="13">
        <v>1854758.42</v>
      </c>
      <c r="D262" s="13">
        <v>5920610.9800000004</v>
      </c>
      <c r="E262" s="13">
        <f>+F262-D262-C262</f>
        <v>710473.31000000052</v>
      </c>
      <c r="F262" s="13">
        <v>8485842.7100000009</v>
      </c>
      <c r="G262" s="11">
        <v>45835</v>
      </c>
      <c r="H262" s="10" t="s">
        <v>24</v>
      </c>
      <c r="I262" s="1" t="str">
        <f>IF(G262&lt;=$K$1,"Pagado","Pendiente")</f>
        <v>Pagado</v>
      </c>
    </row>
    <row r="263" spans="1:9" hidden="1">
      <c r="A263" s="2">
        <v>31295</v>
      </c>
      <c r="B263" s="2">
        <v>9</v>
      </c>
      <c r="D263" s="8">
        <v>5390000</v>
      </c>
      <c r="E263" s="8">
        <v>646800</v>
      </c>
      <c r="F263" s="8">
        <v>6036800</v>
      </c>
      <c r="G263" s="7">
        <v>45927</v>
      </c>
      <c r="H263" s="1" t="s">
        <v>35</v>
      </c>
      <c r="I263" s="1" t="str">
        <f>IF(G263&lt;=$K$1,"Pagado","Pendiente")</f>
        <v>Pagado</v>
      </c>
    </row>
    <row r="264" spans="1:9">
      <c r="A264" s="2">
        <v>23467</v>
      </c>
      <c r="B264" s="2">
        <v>21</v>
      </c>
      <c r="C264" s="8">
        <v>2242512.5499999998</v>
      </c>
      <c r="D264" s="8">
        <v>14967828.41</v>
      </c>
      <c r="E264" s="8">
        <v>1796139.41</v>
      </c>
      <c r="F264" s="8">
        <v>19006480.370000001</v>
      </c>
      <c r="G264" s="7">
        <v>46161</v>
      </c>
      <c r="H264" s="1" t="s">
        <v>31</v>
      </c>
      <c r="I264" s="1" t="str">
        <f>IF(G264&lt;=$K$1,"Pagado","Pendiente")</f>
        <v>Pendiente</v>
      </c>
    </row>
    <row r="265" spans="1:9">
      <c r="A265" s="2">
        <v>20466</v>
      </c>
      <c r="B265" s="2">
        <v>45</v>
      </c>
      <c r="C265" s="8">
        <v>595369.24975036224</v>
      </c>
      <c r="D265" s="8">
        <v>766792.53403642355</v>
      </c>
      <c r="E265" s="8">
        <f>+D265*0.12</f>
        <v>92015.104084370818</v>
      </c>
      <c r="F265" s="8">
        <f>+C265+D265+E265</f>
        <v>1454176.8878711567</v>
      </c>
      <c r="G265" s="7">
        <v>46173</v>
      </c>
      <c r="H265" s="1" t="s">
        <v>31</v>
      </c>
      <c r="I265" s="1" t="str">
        <f>IF(G265&lt;=$K$1,"Pagado","Pendiente")</f>
        <v>Pendiente</v>
      </c>
    </row>
    <row r="266" spans="1:9" hidden="1">
      <c r="A266" s="9">
        <v>66235635</v>
      </c>
      <c r="B266" s="9">
        <v>10</v>
      </c>
      <c r="C266" s="13">
        <v>0</v>
      </c>
      <c r="D266" s="13">
        <v>7808219.1799999997</v>
      </c>
      <c r="E266" s="13">
        <v>936986.30000000075</v>
      </c>
      <c r="F266" s="13">
        <v>8745205.4800000004</v>
      </c>
      <c r="G266" s="11">
        <v>45779</v>
      </c>
      <c r="H266" s="10" t="s">
        <v>26</v>
      </c>
      <c r="I266" s="1" t="str">
        <f>IF(G266&lt;=$K$1,"Pagado","Pendiente")</f>
        <v>Pagado</v>
      </c>
    </row>
    <row r="267" spans="1:9" hidden="1">
      <c r="A267" s="2">
        <v>22044</v>
      </c>
      <c r="B267" s="2">
        <v>34</v>
      </c>
      <c r="C267" s="8">
        <v>862638.00906125852</v>
      </c>
      <c r="D267" s="8">
        <v>1869359.8417859895</v>
      </c>
      <c r="E267" s="8">
        <v>224323.18101431875</v>
      </c>
      <c r="F267" s="8">
        <v>2956321.0318615669</v>
      </c>
      <c r="G267" s="7">
        <v>46175</v>
      </c>
      <c r="H267" s="1" t="s">
        <v>31</v>
      </c>
      <c r="I267" s="1" t="str">
        <f>IF(G267&lt;=$K$1,"Pagado","Pendiente")</f>
        <v>Pendiente</v>
      </c>
    </row>
    <row r="268" spans="1:9">
      <c r="A268" s="2">
        <v>24132</v>
      </c>
      <c r="B268" t="s">
        <v>52</v>
      </c>
      <c r="C268" s="27">
        <v>0</v>
      </c>
      <c r="D268" s="27">
        <v>7055136.9000000004</v>
      </c>
      <c r="E268" s="27">
        <v>847321.93</v>
      </c>
      <c r="F268" s="25">
        <v>7902458.8300000001</v>
      </c>
      <c r="G268" s="6">
        <v>46151</v>
      </c>
      <c r="H268" s="1" t="s">
        <v>31</v>
      </c>
      <c r="I268" s="1" t="str">
        <f>IF(G268&lt;=$K$1,"Pagado","Pendiente")</f>
        <v>Pendiente</v>
      </c>
    </row>
    <row r="269" spans="1:9" hidden="1">
      <c r="A269" s="2">
        <v>23700</v>
      </c>
      <c r="B269" s="2">
        <v>16</v>
      </c>
      <c r="C269" s="8">
        <v>12365962.460000001</v>
      </c>
      <c r="D269" s="8">
        <v>10255934.77</v>
      </c>
      <c r="E269" s="8">
        <v>1230712.17</v>
      </c>
      <c r="F269" s="8">
        <v>23852609.399999999</v>
      </c>
      <c r="G269" s="7">
        <v>46180</v>
      </c>
      <c r="H269" s="1" t="s">
        <v>31</v>
      </c>
      <c r="I269" s="1" t="str">
        <f>IF(G269&lt;=$K$1,"Pagado","Pendiente")</f>
        <v>Pendiente</v>
      </c>
    </row>
    <row r="270" spans="1:9" hidden="1">
      <c r="A270" s="2">
        <v>20828</v>
      </c>
      <c r="B270" s="2">
        <v>42</v>
      </c>
      <c r="C270" s="8">
        <v>713469.2806730736</v>
      </c>
      <c r="D270" s="8">
        <v>1070261.2449310992</v>
      </c>
      <c r="E270" s="8">
        <f>+D270*0.105</f>
        <v>112377.43071776541</v>
      </c>
      <c r="F270" s="8">
        <f>+C270+D270+E270</f>
        <v>1896107.9563219382</v>
      </c>
      <c r="G270" s="7">
        <v>46185</v>
      </c>
      <c r="H270" s="1" t="s">
        <v>31</v>
      </c>
      <c r="I270" s="1" t="str">
        <f>IF(G270&lt;=$K$1,"Pagado","Pendiente")</f>
        <v>Pendiente</v>
      </c>
    </row>
    <row r="271" spans="1:9" hidden="1">
      <c r="A271" s="2">
        <v>23996</v>
      </c>
      <c r="B271" s="2">
        <v>11</v>
      </c>
      <c r="C271" s="8">
        <v>0</v>
      </c>
      <c r="D271" s="8">
        <v>9416095.8000000007</v>
      </c>
      <c r="E271" s="8">
        <v>1130873.1100000001</v>
      </c>
      <c r="F271" s="8">
        <f>+C271+D271+E271</f>
        <v>10546968.91</v>
      </c>
      <c r="G271" s="7">
        <v>46186</v>
      </c>
      <c r="H271" s="1" t="s">
        <v>31</v>
      </c>
      <c r="I271" s="1" t="str">
        <f>IF(G271&lt;=$K$1,"Pagado","Pendiente")</f>
        <v>Pendiente</v>
      </c>
    </row>
    <row r="272" spans="1:9" hidden="1">
      <c r="A272" s="2">
        <v>927328</v>
      </c>
      <c r="B272" s="2">
        <v>10</v>
      </c>
      <c r="C272" s="8">
        <v>4003758.3847848605</v>
      </c>
      <c r="D272" s="8">
        <v>10043261.258681061</v>
      </c>
      <c r="E272" s="8">
        <v>1205191.3510417272</v>
      </c>
      <c r="F272" s="8">
        <v>15252210.994507648</v>
      </c>
      <c r="G272" s="7">
        <v>45886</v>
      </c>
      <c r="H272" s="1" t="s">
        <v>32</v>
      </c>
      <c r="I272" s="1" t="str">
        <f>IF(G272&lt;=$K$1,"Pagado","Pendiente")</f>
        <v>Pagado</v>
      </c>
    </row>
    <row r="273" spans="1:9" hidden="1">
      <c r="A273" s="2">
        <v>75472831</v>
      </c>
      <c r="B273" s="2">
        <v>11</v>
      </c>
      <c r="C273" s="8">
        <v>0</v>
      </c>
      <c r="D273" s="8">
        <v>2630136.9900000002</v>
      </c>
      <c r="E273" s="8">
        <f>+F273-D273-C273</f>
        <v>315616.4299999997</v>
      </c>
      <c r="F273" s="8">
        <v>2945753.42</v>
      </c>
      <c r="G273" s="7">
        <v>45917</v>
      </c>
      <c r="H273" s="1" t="s">
        <v>26</v>
      </c>
      <c r="I273" s="1" t="str">
        <f>IF(G273&lt;=$K$1,"Pagado","Pendiente")</f>
        <v>Pagado</v>
      </c>
    </row>
    <row r="274" spans="1:9" hidden="1">
      <c r="A274" s="2">
        <v>863502400</v>
      </c>
      <c r="B274" s="2">
        <v>10</v>
      </c>
      <c r="C274" s="8">
        <v>2447971.04</v>
      </c>
      <c r="D274" s="8">
        <v>7573616.1900000004</v>
      </c>
      <c r="E274" s="8">
        <v>908833.94</v>
      </c>
      <c r="F274" s="8">
        <v>10930421.17</v>
      </c>
      <c r="G274" s="7">
        <v>45947</v>
      </c>
      <c r="H274" s="1" t="s">
        <v>24</v>
      </c>
      <c r="I274" s="1" t="str">
        <f>IF(G274&lt;=$K$1,"Pagado","Pendiente")</f>
        <v>Pagado</v>
      </c>
    </row>
    <row r="275" spans="1:9" hidden="1">
      <c r="A275" s="2">
        <v>863502600</v>
      </c>
      <c r="B275" s="2">
        <v>18</v>
      </c>
      <c r="C275" s="8">
        <v>1578550.8</v>
      </c>
      <c r="D275" s="8">
        <v>3605028.8</v>
      </c>
      <c r="E275" s="8">
        <v>432603.45</v>
      </c>
      <c r="F275" s="8">
        <v>5616183.0499999998</v>
      </c>
      <c r="G275" s="7">
        <v>46190</v>
      </c>
      <c r="H275" s="1" t="s">
        <v>24</v>
      </c>
      <c r="I275" s="1" t="str">
        <f>IF(G275&lt;=$K$1,"Pagado","Pendiente")</f>
        <v>Pendiente</v>
      </c>
    </row>
    <row r="276" spans="1:9" hidden="1">
      <c r="A276" s="2">
        <v>23790</v>
      </c>
      <c r="B276" s="2">
        <v>15</v>
      </c>
      <c r="C276" s="8">
        <v>11976346.791465554</v>
      </c>
      <c r="D276" s="8">
        <v>10818887.303199805</v>
      </c>
      <c r="E276" s="8">
        <v>1298266.4763839766</v>
      </c>
      <c r="F276" s="8">
        <v>24093500.571049336</v>
      </c>
      <c r="G276" s="7">
        <v>46190</v>
      </c>
      <c r="H276" s="1" t="s">
        <v>31</v>
      </c>
      <c r="I276" s="1" t="str">
        <f>IF(G276&lt;=$K$1,"Pagado","Pendiente")</f>
        <v>Pendiente</v>
      </c>
    </row>
    <row r="277" spans="1:9" hidden="1">
      <c r="A277" s="2">
        <v>24004</v>
      </c>
      <c r="B277" s="2">
        <v>11</v>
      </c>
      <c r="C277" s="8">
        <v>1106563.69</v>
      </c>
      <c r="D277" s="8">
        <v>4667945.88</v>
      </c>
      <c r="E277" s="8">
        <v>560620.30000000005</v>
      </c>
      <c r="F277" s="8">
        <v>6335129.8700000001</v>
      </c>
      <c r="G277" s="7">
        <v>46190</v>
      </c>
      <c r="H277" s="1" t="s">
        <v>31</v>
      </c>
      <c r="I277" s="1" t="str">
        <f>IF(G277&lt;=$K$1,"Pagado","Pendiente")</f>
        <v>Pendiente</v>
      </c>
    </row>
    <row r="278" spans="1:9" hidden="1">
      <c r="A278" s="9">
        <v>65210751</v>
      </c>
      <c r="B278" s="9">
        <v>10</v>
      </c>
      <c r="C278" s="13">
        <v>0</v>
      </c>
      <c r="D278" s="13">
        <v>10013698.630000001</v>
      </c>
      <c r="E278" s="13">
        <f>+D278*0.12</f>
        <v>1201643.8356000001</v>
      </c>
      <c r="F278" s="13">
        <f>+C278+D278+E278</f>
        <v>11215342.465600001</v>
      </c>
      <c r="G278" s="11">
        <v>45765</v>
      </c>
      <c r="H278" s="10" t="s">
        <v>26</v>
      </c>
      <c r="I278" s="1" t="str">
        <f>IF(G278&lt;=$K$1,"Pagado","Pendiente")</f>
        <v>Pagado</v>
      </c>
    </row>
    <row r="279" spans="1:9" hidden="1">
      <c r="A279" s="2">
        <v>23430</v>
      </c>
      <c r="B279" s="2">
        <v>23</v>
      </c>
      <c r="C279" s="8">
        <v>617663.72</v>
      </c>
      <c r="D279" s="8">
        <v>3971760.53</v>
      </c>
      <c r="E279" s="8">
        <v>476611.27</v>
      </c>
      <c r="F279" s="8">
        <v>5066035.5199999996</v>
      </c>
      <c r="G279" s="7">
        <v>46192</v>
      </c>
      <c r="H279" s="1" t="s">
        <v>31</v>
      </c>
      <c r="I279" s="1" t="str">
        <f>IF(G279&lt;=$K$1,"Pagado","Pendiente")</f>
        <v>Pendiente</v>
      </c>
    </row>
    <row r="280" spans="1:9" hidden="1">
      <c r="A280" s="2">
        <v>23467</v>
      </c>
      <c r="B280" s="2">
        <v>22</v>
      </c>
      <c r="C280" s="8">
        <v>2316238.9900000002</v>
      </c>
      <c r="D280" s="8">
        <v>14894101.970000001</v>
      </c>
      <c r="E280" s="8">
        <v>1787292.24</v>
      </c>
      <c r="F280" s="8">
        <v>18997633.200000003</v>
      </c>
      <c r="G280" s="7">
        <v>46192</v>
      </c>
      <c r="H280" s="1" t="s">
        <v>31</v>
      </c>
      <c r="I280" s="1" t="str">
        <f>IF(G280&lt;=$K$1,"Pagado","Pendiente")</f>
        <v>Pendiente</v>
      </c>
    </row>
    <row r="281" spans="1:9" hidden="1">
      <c r="A281" s="2">
        <v>885417400</v>
      </c>
      <c r="B281" s="2">
        <v>15</v>
      </c>
      <c r="C281" s="8">
        <v>27777777.777777776</v>
      </c>
      <c r="D281" s="8">
        <v>3396296.2962962911</v>
      </c>
      <c r="E281" s="8">
        <v>407555.55555555492</v>
      </c>
      <c r="F281" s="8">
        <v>31581629.629629623</v>
      </c>
      <c r="G281" s="7">
        <v>46198</v>
      </c>
      <c r="H281" s="1" t="s">
        <v>24</v>
      </c>
      <c r="I281" s="1" t="str">
        <f>IF(G281&lt;=$K$1,"Pagado","Pendiente")</f>
        <v>Pendiente</v>
      </c>
    </row>
    <row r="282" spans="1:9" hidden="1">
      <c r="A282" s="2">
        <v>394949</v>
      </c>
      <c r="B282" s="2">
        <v>18</v>
      </c>
      <c r="C282" s="8">
        <v>1055335.0900000001</v>
      </c>
      <c r="D282" s="8">
        <v>3850982.2</v>
      </c>
      <c r="E282" s="8">
        <v>462117.86</v>
      </c>
      <c r="F282" s="8">
        <v>5368435.1500000004</v>
      </c>
      <c r="G282" s="7">
        <v>46199</v>
      </c>
      <c r="H282" s="1" t="s">
        <v>30</v>
      </c>
      <c r="I282" s="1" t="str">
        <f>IF(G282&lt;=$K$1,"Pagado","Pendiente")</f>
        <v>Pendiente</v>
      </c>
    </row>
    <row r="283" spans="1:9" hidden="1">
      <c r="A283" s="2">
        <v>347916</v>
      </c>
      <c r="B283" s="2">
        <v>24</v>
      </c>
      <c r="C283" s="8">
        <v>2841304.5915187923</v>
      </c>
      <c r="D283" s="8">
        <v>5611879.1767406343</v>
      </c>
      <c r="E283" s="8">
        <v>673425.50120887614</v>
      </c>
      <c r="F283" s="8">
        <v>9126609.2694683019</v>
      </c>
      <c r="G283" s="7">
        <v>46200</v>
      </c>
      <c r="H283" s="1" t="s">
        <v>30</v>
      </c>
      <c r="I283" s="1" t="str">
        <f>IF(G283&lt;=$K$1,"Pagado","Pendiente")</f>
        <v>Pendiente</v>
      </c>
    </row>
    <row r="284" spans="1:9" hidden="1">
      <c r="A284" s="9">
        <v>2537844</v>
      </c>
      <c r="B284" s="9">
        <v>10</v>
      </c>
      <c r="C284" s="13">
        <v>2500000</v>
      </c>
      <c r="D284" s="13">
        <v>2484246.5803571427</v>
      </c>
      <c r="E284" s="13">
        <v>298109.58964285714</v>
      </c>
      <c r="F284" s="13">
        <v>5282356.17</v>
      </c>
      <c r="G284" s="11">
        <v>45684</v>
      </c>
      <c r="H284" s="10" t="s">
        <v>29</v>
      </c>
      <c r="I284" s="1" t="str">
        <f>IF(G284&lt;=$K$1,"Pagado","Pendiente")</f>
        <v>Pagado</v>
      </c>
    </row>
    <row r="285" spans="1:9" hidden="1">
      <c r="A285" s="2">
        <v>843950300</v>
      </c>
      <c r="B285" s="2">
        <v>10</v>
      </c>
      <c r="C285" s="8">
        <v>1906589.65</v>
      </c>
      <c r="D285" s="8">
        <v>5868779.75</v>
      </c>
      <c r="E285" s="8">
        <f>+F285-D285-C285</f>
        <v>704253.57000000076</v>
      </c>
      <c r="F285" s="8">
        <v>8479622.9700000007</v>
      </c>
      <c r="G285" s="7">
        <v>45865</v>
      </c>
      <c r="H285" s="1" t="s">
        <v>24</v>
      </c>
      <c r="I285" s="1" t="str">
        <f>IF(G285&lt;=$K$1,"Pagado","Pendiente")</f>
        <v>Pagado</v>
      </c>
    </row>
    <row r="286" spans="1:9" hidden="1">
      <c r="A286" s="2">
        <v>31295</v>
      </c>
      <c r="B286" s="2">
        <v>10</v>
      </c>
      <c r="D286" s="8">
        <v>5390000</v>
      </c>
      <c r="E286" s="8">
        <v>646800</v>
      </c>
      <c r="F286" s="8">
        <v>6036800</v>
      </c>
      <c r="G286" s="7">
        <v>45957</v>
      </c>
      <c r="H286" s="1" t="s">
        <v>35</v>
      </c>
      <c r="I286" s="1" t="str">
        <f>IF(G286&lt;=$K$1,"Pagado","Pendiente")</f>
        <v>Pagado</v>
      </c>
    </row>
    <row r="287" spans="1:9" hidden="1">
      <c r="A287" s="2">
        <v>885417900</v>
      </c>
      <c r="B287" s="2">
        <v>15</v>
      </c>
      <c r="C287" s="8">
        <v>27777777.777777776</v>
      </c>
      <c r="D287" s="8">
        <v>3396296.2962962911</v>
      </c>
      <c r="E287" s="8">
        <v>407555.55555555492</v>
      </c>
      <c r="F287" s="8">
        <v>31581629.629629623</v>
      </c>
      <c r="G287" s="7">
        <v>46201</v>
      </c>
      <c r="H287" s="1" t="s">
        <v>24</v>
      </c>
      <c r="I287" s="1" t="str">
        <f>IF(G287&lt;=$K$1,"Pagado","Pendiente")</f>
        <v>Pendiente</v>
      </c>
    </row>
    <row r="288" spans="1:9" hidden="1">
      <c r="A288" s="2">
        <v>20466</v>
      </c>
      <c r="B288" s="2">
        <v>46</v>
      </c>
      <c r="C288" s="8">
        <v>613230.32724287303</v>
      </c>
      <c r="D288" s="8">
        <v>748931.45654391276</v>
      </c>
      <c r="E288" s="8">
        <f>+D288*0.12</f>
        <v>89871.774785269532</v>
      </c>
      <c r="F288" s="8">
        <f>+C288+D288+E288</f>
        <v>1452033.5585720553</v>
      </c>
      <c r="G288" s="7">
        <v>46203</v>
      </c>
      <c r="H288" s="1" t="s">
        <v>31</v>
      </c>
      <c r="I288" s="1" t="str">
        <f>IF(G288&lt;=$K$1,"Pagado","Pendiente")</f>
        <v>Pendiente</v>
      </c>
    </row>
    <row r="289" spans="1:9" hidden="1">
      <c r="A289" s="9">
        <v>66235635</v>
      </c>
      <c r="B289" s="9">
        <v>11</v>
      </c>
      <c r="C289" s="13">
        <v>0</v>
      </c>
      <c r="D289" s="13">
        <v>7287671.2321428563</v>
      </c>
      <c r="E289" s="13">
        <v>874520.54785714275</v>
      </c>
      <c r="F289" s="13">
        <v>8162191.7800000003</v>
      </c>
      <c r="G289" s="11">
        <v>45810</v>
      </c>
      <c r="H289" s="10" t="s">
        <v>26</v>
      </c>
      <c r="I289" s="1" t="str">
        <f>IF(G289&lt;=$K$1,"Pagado","Pendiente")</f>
        <v>Pagado</v>
      </c>
    </row>
    <row r="290" spans="1:9" hidden="1">
      <c r="A290" s="2">
        <v>22044</v>
      </c>
      <c r="B290" s="2">
        <v>35</v>
      </c>
      <c r="C290" s="8">
        <v>888517.14933309634</v>
      </c>
      <c r="D290" s="8">
        <v>1843480.7015141516</v>
      </c>
      <c r="E290" s="8">
        <v>221217.68418169819</v>
      </c>
      <c r="F290" s="8">
        <v>2953215.5350289461</v>
      </c>
      <c r="G290" s="7">
        <v>46205</v>
      </c>
      <c r="H290" s="1" t="s">
        <v>31</v>
      </c>
      <c r="I290" s="1" t="str">
        <f>IF(G290&lt;=$K$1,"Pagado","Pendiente")</f>
        <v>Pendiente</v>
      </c>
    </row>
    <row r="291" spans="1:9" hidden="1">
      <c r="A291" s="2">
        <v>119980</v>
      </c>
      <c r="B291" s="2">
        <v>19</v>
      </c>
      <c r="C291" s="8">
        <v>14166666.67</v>
      </c>
      <c r="D291" s="8">
        <v>16170958.9</v>
      </c>
      <c r="E291" s="8">
        <f>+F291-D291-C291</f>
        <v>1940515.0599999987</v>
      </c>
      <c r="F291" s="8">
        <v>32278140.629999999</v>
      </c>
      <c r="G291" s="7">
        <v>46177</v>
      </c>
      <c r="H291" s="1" t="s">
        <v>26</v>
      </c>
      <c r="I291" s="1" t="str">
        <f>IF(G291&lt;=$K$1,"Pagado","Pendiente")</f>
        <v>Pendiente</v>
      </c>
    </row>
    <row r="292" spans="1:9" hidden="1">
      <c r="A292" s="2">
        <v>23700</v>
      </c>
      <c r="B292" s="2">
        <v>17</v>
      </c>
      <c r="C292" s="8">
        <v>12726777.529999999</v>
      </c>
      <c r="D292" s="8">
        <v>9895119.6999999993</v>
      </c>
      <c r="E292" s="8">
        <v>1187414.3700000001</v>
      </c>
      <c r="F292" s="8">
        <v>23809311.599999998</v>
      </c>
      <c r="G292" s="7">
        <v>46210</v>
      </c>
      <c r="H292" s="1" t="s">
        <v>31</v>
      </c>
      <c r="I292" s="1" t="str">
        <f>IF(G292&lt;=$K$1,"Pagado","Pendiente")</f>
        <v>Pendiente</v>
      </c>
    </row>
    <row r="293" spans="1:9" hidden="1">
      <c r="A293" s="2">
        <v>20828</v>
      </c>
      <c r="B293" s="2">
        <v>43</v>
      </c>
      <c r="C293" s="8">
        <v>734873.35909326584</v>
      </c>
      <c r="D293" s="8">
        <v>1048857.166510907</v>
      </c>
      <c r="E293" s="8">
        <f>+D293*0.105</f>
        <v>110130.00248364524</v>
      </c>
      <c r="F293" s="8">
        <f>+C293+D293+E293</f>
        <v>1893860.5280878181</v>
      </c>
      <c r="G293" s="7">
        <v>46215</v>
      </c>
      <c r="H293" s="1" t="s">
        <v>31</v>
      </c>
      <c r="I293" s="1" t="str">
        <f>IF(G293&lt;=$K$1,"Pagado","Pendiente")</f>
        <v>Pendiente</v>
      </c>
    </row>
    <row r="294" spans="1:9" hidden="1">
      <c r="A294" s="2">
        <v>23996</v>
      </c>
      <c r="B294" s="2">
        <v>12</v>
      </c>
      <c r="C294" s="8">
        <v>0</v>
      </c>
      <c r="D294" s="8">
        <v>9416095.8000000007</v>
      </c>
      <c r="E294" s="8">
        <v>1130873.1100000001</v>
      </c>
      <c r="F294" s="8">
        <f>+C294+D294+E294</f>
        <v>10546968.91</v>
      </c>
      <c r="G294" s="7">
        <v>46216</v>
      </c>
      <c r="H294" s="1" t="s">
        <v>31</v>
      </c>
      <c r="I294" s="1" t="str">
        <f>IF(G294&lt;=$K$1,"Pagado","Pendiente")</f>
        <v>Pendiente</v>
      </c>
    </row>
    <row r="295" spans="1:9" hidden="1">
      <c r="A295" s="2">
        <v>927328</v>
      </c>
      <c r="B295" s="2">
        <v>11</v>
      </c>
      <c r="C295" s="8">
        <v>4103518.697872417</v>
      </c>
      <c r="D295" s="8">
        <v>9956518</v>
      </c>
      <c r="E295" s="8">
        <v>1194782.1599999999</v>
      </c>
      <c r="F295" s="8">
        <v>15254818.857872417</v>
      </c>
      <c r="G295" s="7">
        <v>45917</v>
      </c>
      <c r="H295" s="1" t="s">
        <v>32</v>
      </c>
      <c r="I295" s="1" t="str">
        <f>IF(G295&lt;=$K$1,"Pagado","Pendiente")</f>
        <v>Pagado</v>
      </c>
    </row>
    <row r="296" spans="1:9" hidden="1">
      <c r="A296" s="2">
        <v>75472831</v>
      </c>
      <c r="B296" s="2">
        <v>12</v>
      </c>
      <c r="C296" s="8">
        <v>0</v>
      </c>
      <c r="D296" s="8">
        <v>2630136.9900000002</v>
      </c>
      <c r="E296" s="8">
        <f>+F296-D296-C296</f>
        <v>315616.4299999997</v>
      </c>
      <c r="F296" s="8">
        <v>2945753.42</v>
      </c>
      <c r="G296" s="7">
        <v>45947</v>
      </c>
      <c r="H296" s="1" t="s">
        <v>26</v>
      </c>
      <c r="I296" s="1" t="str">
        <f>IF(G296&lt;=$K$1,"Pagado","Pendiente")</f>
        <v>Pagado</v>
      </c>
    </row>
    <row r="297" spans="1:9" hidden="1">
      <c r="A297" s="2">
        <v>863502400</v>
      </c>
      <c r="B297" s="2">
        <v>11</v>
      </c>
      <c r="C297" s="8">
        <v>2516379.59</v>
      </c>
      <c r="D297" s="8">
        <v>7505207.6399999997</v>
      </c>
      <c r="E297" s="8">
        <v>900624.91</v>
      </c>
      <c r="F297" s="8">
        <v>10922212.140000001</v>
      </c>
      <c r="G297" s="7">
        <v>45978</v>
      </c>
      <c r="H297" s="1" t="s">
        <v>24</v>
      </c>
      <c r="I297" s="1" t="str">
        <f>IF(G297&lt;=$K$1,"Pagado","Pendiente")</f>
        <v>Pagado</v>
      </c>
    </row>
    <row r="298" spans="1:9" hidden="1">
      <c r="A298" s="2">
        <v>863502600</v>
      </c>
      <c r="B298" s="2">
        <v>19</v>
      </c>
      <c r="C298" s="8">
        <v>1622663.4</v>
      </c>
      <c r="D298" s="8">
        <v>3560916.2</v>
      </c>
      <c r="E298" s="8">
        <v>427309.94</v>
      </c>
      <c r="F298" s="8">
        <v>5610889.54</v>
      </c>
      <c r="G298" s="7">
        <v>46220</v>
      </c>
      <c r="H298" s="1" t="s">
        <v>24</v>
      </c>
      <c r="I298" s="1" t="str">
        <f>IF(G298&lt;=$K$1,"Pagado","Pendiente")</f>
        <v>Pendiente</v>
      </c>
    </row>
    <row r="299" spans="1:9" hidden="1">
      <c r="A299" s="2">
        <v>23790</v>
      </c>
      <c r="B299" s="2">
        <v>16</v>
      </c>
      <c r="C299" s="8">
        <v>12331894.586837187</v>
      </c>
      <c r="D299" s="8">
        <v>10463339.507828172</v>
      </c>
      <c r="E299" s="8">
        <v>1255600.7409393806</v>
      </c>
      <c r="F299" s="8">
        <v>24050834.835604742</v>
      </c>
      <c r="G299" s="7">
        <v>46220</v>
      </c>
      <c r="H299" s="1" t="s">
        <v>31</v>
      </c>
      <c r="I299" s="1" t="str">
        <f>IF(G299&lt;=$K$1,"Pagado","Pendiente")</f>
        <v>Pendiente</v>
      </c>
    </row>
    <row r="300" spans="1:9" s="10" customFormat="1" hidden="1">
      <c r="A300" s="2">
        <v>927328</v>
      </c>
      <c r="B300" s="2">
        <v>12</v>
      </c>
      <c r="C300" s="8">
        <v>4205764.705427736</v>
      </c>
      <c r="D300" s="8">
        <v>9841254.9380381852</v>
      </c>
      <c r="E300" s="8">
        <v>1180950.5925645821</v>
      </c>
      <c r="F300" s="8">
        <v>15227970.236030504</v>
      </c>
      <c r="G300" s="7">
        <v>45947</v>
      </c>
      <c r="H300" s="1" t="s">
        <v>32</v>
      </c>
      <c r="I300" s="1" t="str">
        <f>IF(G300&lt;=$K$1,"Pagado","Pendiente")</f>
        <v>Pagado</v>
      </c>
    </row>
    <row r="301" spans="1:9" s="10" customFormat="1" hidden="1">
      <c r="A301" s="2">
        <v>927328</v>
      </c>
      <c r="B301" s="2">
        <v>13</v>
      </c>
      <c r="C301" s="8">
        <v>4310558.3426713124</v>
      </c>
      <c r="D301" s="8">
        <v>9736461.3007946089</v>
      </c>
      <c r="E301" s="8">
        <v>1168375.3560953531</v>
      </c>
      <c r="F301" s="8">
        <v>15215394.999561274</v>
      </c>
      <c r="G301" s="7">
        <v>45978</v>
      </c>
      <c r="H301" s="1" t="s">
        <v>32</v>
      </c>
      <c r="I301" s="1" t="str">
        <f>IF(G301&lt;=$K$1,"Pagado","Pendiente")</f>
        <v>Pagado</v>
      </c>
    </row>
    <row r="302" spans="1:9" s="10" customFormat="1" hidden="1">
      <c r="A302" s="2">
        <v>927328</v>
      </c>
      <c r="B302" s="2">
        <v>14</v>
      </c>
      <c r="C302" s="8">
        <v>4417963.088042872</v>
      </c>
      <c r="D302" s="8">
        <v>9635874.439247435</v>
      </c>
      <c r="E302" s="8">
        <v>1156304.932709692</v>
      </c>
      <c r="F302" s="8">
        <v>15210142.459999999</v>
      </c>
      <c r="G302" s="7">
        <v>46008</v>
      </c>
      <c r="H302" s="1" t="s">
        <v>32</v>
      </c>
      <c r="I302" s="1" t="str">
        <f>IF(G302&lt;=$K$1,"Pagado","Pendiente")</f>
        <v>Pagado</v>
      </c>
    </row>
    <row r="303" spans="1:9" s="10" customFormat="1" hidden="1">
      <c r="A303" s="2">
        <v>927328</v>
      </c>
      <c r="B303" s="2">
        <v>15</v>
      </c>
      <c r="C303" s="8">
        <v>4528044.0016532745</v>
      </c>
      <c r="D303" s="8">
        <v>9518975.6418126468</v>
      </c>
      <c r="E303" s="8">
        <v>1142277.0770175175</v>
      </c>
      <c r="F303" s="8">
        <v>15189296.720483439</v>
      </c>
      <c r="G303" s="7">
        <v>46039</v>
      </c>
      <c r="H303" s="1" t="s">
        <v>32</v>
      </c>
      <c r="I303" s="1" t="str">
        <f>IF(G303&lt;=$K$1,"Pagado","Pendiente")</f>
        <v>Pagado</v>
      </c>
    </row>
    <row r="304" spans="1:9" s="10" customFormat="1" hidden="1">
      <c r="A304" s="2">
        <v>927328</v>
      </c>
      <c r="B304" s="2">
        <v>16</v>
      </c>
      <c r="C304" s="8">
        <v>4640867.7646944672</v>
      </c>
      <c r="D304" s="8">
        <v>9406151.8787714541</v>
      </c>
      <c r="E304" s="8">
        <v>1128738.2254525744</v>
      </c>
      <c r="F304" s="8">
        <v>15175757.868918495</v>
      </c>
      <c r="G304" s="7">
        <v>46070</v>
      </c>
      <c r="H304" s="1" t="s">
        <v>32</v>
      </c>
      <c r="I304" s="1" t="str">
        <f>IF(G304&lt;=$K$1,"Pagado","Pendiente")</f>
        <v>Pagado</v>
      </c>
    </row>
    <row r="305" spans="1:10" s="10" customFormat="1" hidden="1">
      <c r="A305" s="2">
        <v>927328</v>
      </c>
      <c r="B305" s="2">
        <v>17</v>
      </c>
      <c r="C305" s="8">
        <v>4756502.7198314369</v>
      </c>
      <c r="D305" s="8">
        <v>9290516.9236344844</v>
      </c>
      <c r="E305" s="8">
        <v>1114862.0308361382</v>
      </c>
      <c r="F305" s="8">
        <v>15161881.67430206</v>
      </c>
      <c r="G305" s="7">
        <v>46098</v>
      </c>
      <c r="H305" s="1" t="s">
        <v>32</v>
      </c>
      <c r="I305" s="1" t="str">
        <f>IF(G305&lt;=$K$1,"Pagado","Pendiente")</f>
        <v>Pagado</v>
      </c>
    </row>
    <row r="306" spans="1:10" s="10" customFormat="1" hidden="1">
      <c r="A306" s="2">
        <v>927328</v>
      </c>
      <c r="B306" s="2">
        <v>18</v>
      </c>
      <c r="C306" s="8">
        <v>4875018.9126005713</v>
      </c>
      <c r="D306" s="8">
        <v>9172000.73086535</v>
      </c>
      <c r="E306" s="8">
        <v>1100640.087703842</v>
      </c>
      <c r="F306" s="8">
        <v>15147659.731169764</v>
      </c>
      <c r="G306" s="7">
        <v>46129</v>
      </c>
      <c r="H306" s="1" t="s">
        <v>32</v>
      </c>
      <c r="I306" s="1" t="str">
        <f>IF(G306&lt;=$K$1,"Pagado","Pendiente")</f>
        <v>Pagado</v>
      </c>
    </row>
    <row r="307" spans="1:10" s="10" customFormat="1">
      <c r="A307" s="2">
        <v>24214</v>
      </c>
      <c r="B307" s="2">
        <v>7</v>
      </c>
      <c r="C307" s="27">
        <v>1284522.24</v>
      </c>
      <c r="D307" s="27">
        <v>9246575.3399999999</v>
      </c>
      <c r="E307" s="27">
        <v>1110513.7</v>
      </c>
      <c r="F307" s="25">
        <v>11641611.279999999</v>
      </c>
      <c r="G307" s="6">
        <v>46160</v>
      </c>
      <c r="H307" s="1" t="s">
        <v>31</v>
      </c>
      <c r="I307" s="1" t="str">
        <f>IF(G307&lt;=$K$1,"Pagado","Pendiente")</f>
        <v>Pendiente</v>
      </c>
      <c r="J307" s="15"/>
    </row>
    <row r="308" spans="1:10" hidden="1">
      <c r="A308" s="2">
        <v>927328</v>
      </c>
      <c r="B308" s="2">
        <v>20</v>
      </c>
      <c r="C308" s="8">
        <v>5120983.963174371</v>
      </c>
      <c r="D308" s="8">
        <v>8926035.6802915502</v>
      </c>
      <c r="E308" s="8">
        <v>1071124.2816349859</v>
      </c>
      <c r="F308" s="8">
        <v>15118143.925100908</v>
      </c>
      <c r="G308" s="7">
        <v>46190</v>
      </c>
      <c r="H308" s="1" t="s">
        <v>32</v>
      </c>
      <c r="I308" s="1" t="str">
        <f>IF(G308&lt;=$K$1,"Pagado","Pendiente")</f>
        <v>Pendiente</v>
      </c>
    </row>
    <row r="309" spans="1:10" hidden="1">
      <c r="A309" s="2">
        <v>927328</v>
      </c>
      <c r="B309" s="2">
        <v>21</v>
      </c>
      <c r="C309" s="8">
        <v>5248581.8135901317</v>
      </c>
      <c r="D309" s="8">
        <v>8798437.8298757896</v>
      </c>
      <c r="E309" s="8">
        <v>1055812.5395850947</v>
      </c>
      <c r="F309" s="8">
        <v>15102832.183051016</v>
      </c>
      <c r="G309" s="7">
        <v>46220</v>
      </c>
      <c r="H309" s="1" t="s">
        <v>32</v>
      </c>
      <c r="I309" s="1" t="str">
        <f>IF(G309&lt;=$K$1,"Pagado","Pendiente")</f>
        <v>Pendiente</v>
      </c>
    </row>
    <row r="310" spans="1:10" hidden="1">
      <c r="A310" s="2">
        <v>24004</v>
      </c>
      <c r="B310" s="2">
        <v>12</v>
      </c>
      <c r="C310" s="8">
        <v>1143739.69</v>
      </c>
      <c r="D310" s="8">
        <v>4630769.88</v>
      </c>
      <c r="E310" s="8">
        <v>556155.47</v>
      </c>
      <c r="F310" s="8">
        <v>6330665.04</v>
      </c>
      <c r="G310" s="7">
        <v>46220</v>
      </c>
      <c r="H310" s="1" t="s">
        <v>31</v>
      </c>
      <c r="I310" s="1" t="str">
        <f>IF(G310&lt;=$K$1,"Pagado","Pendiente")</f>
        <v>Pendiente</v>
      </c>
    </row>
    <row r="311" spans="1:10" hidden="1">
      <c r="A311" s="9">
        <v>65210751</v>
      </c>
      <c r="B311" s="9">
        <v>11</v>
      </c>
      <c r="C311" s="13">
        <v>0</v>
      </c>
      <c r="D311" s="13">
        <v>8246575.3399999999</v>
      </c>
      <c r="E311" s="13">
        <f>+D311*0.12</f>
        <v>989589.04079999996</v>
      </c>
      <c r="F311" s="13">
        <f>+C311+D311+E311</f>
        <v>9236164.3807999995</v>
      </c>
      <c r="G311" s="11">
        <v>45795</v>
      </c>
      <c r="H311" s="10" t="s">
        <v>26</v>
      </c>
      <c r="I311" s="1" t="str">
        <f>IF(G311&lt;=$K$1,"Pagado","Pendiente")</f>
        <v>Pagado</v>
      </c>
    </row>
    <row r="312" spans="1:10" hidden="1">
      <c r="A312" s="2">
        <v>23430</v>
      </c>
      <c r="B312" s="2">
        <v>24</v>
      </c>
      <c r="C312" s="8">
        <v>637970.47</v>
      </c>
      <c r="D312" s="8">
        <v>3951453.78</v>
      </c>
      <c r="E312" s="8">
        <v>474174.46</v>
      </c>
      <c r="F312" s="8">
        <v>5063598.71</v>
      </c>
      <c r="G312" s="7">
        <v>46222</v>
      </c>
      <c r="H312" s="1" t="s">
        <v>31</v>
      </c>
      <c r="I312" s="1" t="str">
        <f>IF(G312&lt;=$K$1,"Pagado","Pendiente")</f>
        <v>Pendiente</v>
      </c>
    </row>
    <row r="313" spans="1:10" hidden="1">
      <c r="A313" s="2">
        <v>23467</v>
      </c>
      <c r="B313" s="2">
        <v>23</v>
      </c>
      <c r="C313" s="8">
        <v>2392389.31</v>
      </c>
      <c r="D313" s="8">
        <v>14817951.65</v>
      </c>
      <c r="E313" s="8">
        <v>1778154.19</v>
      </c>
      <c r="F313" s="8">
        <v>18988495.149999999</v>
      </c>
      <c r="G313" s="7">
        <v>46222</v>
      </c>
      <c r="H313" s="1" t="s">
        <v>31</v>
      </c>
      <c r="I313" s="1" t="str">
        <f>IF(G313&lt;=$K$1,"Pagado","Pendiente")</f>
        <v>Pendiente</v>
      </c>
    </row>
    <row r="314" spans="1:10" hidden="1">
      <c r="A314" s="2">
        <v>885417400</v>
      </c>
      <c r="B314" s="2">
        <v>16</v>
      </c>
      <c r="C314" s="8">
        <v>27777777.777777776</v>
      </c>
      <c r="D314" s="8">
        <v>2547222.2222222169</v>
      </c>
      <c r="E314" s="8">
        <v>305666.66666666605</v>
      </c>
      <c r="F314" s="8">
        <v>30630666.66666666</v>
      </c>
      <c r="G314" s="7">
        <v>46228</v>
      </c>
      <c r="H314" s="1" t="s">
        <v>24</v>
      </c>
      <c r="I314" s="1" t="str">
        <f>IF(G314&lt;=$K$1,"Pagado","Pendiente")</f>
        <v>Pendiente</v>
      </c>
    </row>
    <row r="315" spans="1:10" hidden="1">
      <c r="A315" s="2">
        <v>394949</v>
      </c>
      <c r="B315" s="2">
        <v>19</v>
      </c>
      <c r="C315" s="8">
        <v>1085236.25</v>
      </c>
      <c r="D315" s="8">
        <v>3821081.04</v>
      </c>
      <c r="E315" s="8">
        <v>458529.71</v>
      </c>
      <c r="F315" s="8">
        <v>5364847</v>
      </c>
      <c r="G315" s="7">
        <v>46229</v>
      </c>
      <c r="H315" s="1" t="s">
        <v>30</v>
      </c>
      <c r="I315" s="1" t="str">
        <f>IF(G315&lt;=$K$1,"Pagado","Pendiente")</f>
        <v>Pendiente</v>
      </c>
    </row>
    <row r="316" spans="1:10" hidden="1">
      <c r="A316" s="2">
        <v>347916</v>
      </c>
      <c r="B316" s="2">
        <v>25</v>
      </c>
      <c r="C316" s="8">
        <v>2905233.9448279655</v>
      </c>
      <c r="D316" s="8">
        <v>5547949.8234314611</v>
      </c>
      <c r="E316" s="8">
        <v>665753.97881177533</v>
      </c>
      <c r="F316" s="8">
        <v>9118937.7470712028</v>
      </c>
      <c r="G316" s="7">
        <v>46230</v>
      </c>
      <c r="H316" s="1" t="s">
        <v>30</v>
      </c>
      <c r="I316" s="1" t="str">
        <f>IF(G316&lt;=$K$1,"Pagado","Pendiente")</f>
        <v>Pendiente</v>
      </c>
    </row>
    <row r="317" spans="1:10" hidden="1">
      <c r="A317" s="9">
        <v>2537844</v>
      </c>
      <c r="B317" s="9">
        <v>11</v>
      </c>
      <c r="C317" s="13">
        <v>2500000</v>
      </c>
      <c r="D317" s="13">
        <v>2420547.8450000002</v>
      </c>
      <c r="E317" s="13">
        <v>290465.7414</v>
      </c>
      <c r="F317" s="13">
        <v>5211013.5864000004</v>
      </c>
      <c r="G317" s="11">
        <v>45715</v>
      </c>
      <c r="H317" s="10" t="s">
        <v>29</v>
      </c>
      <c r="I317" s="1" t="str">
        <f>IF(G317&lt;=$K$1,"Pagado","Pendiente")</f>
        <v>Pagado</v>
      </c>
    </row>
    <row r="318" spans="1:10" hidden="1">
      <c r="A318" s="2">
        <v>843950300</v>
      </c>
      <c r="B318" s="2">
        <v>11</v>
      </c>
      <c r="C318" s="8">
        <v>1959869.29</v>
      </c>
      <c r="D318" s="8">
        <v>5815500.1100000003</v>
      </c>
      <c r="E318" s="8">
        <f>+F318-D318-C318</f>
        <v>697860.00999999978</v>
      </c>
      <c r="F318" s="8">
        <v>8473229.4100000001</v>
      </c>
      <c r="G318" s="7">
        <v>45896</v>
      </c>
      <c r="H318" s="1" t="s">
        <v>24</v>
      </c>
      <c r="I318" s="1" t="str">
        <f>IF(G318&lt;=$K$1,"Pagado","Pendiente")</f>
        <v>Pagado</v>
      </c>
    </row>
    <row r="319" spans="1:10" hidden="1">
      <c r="A319" s="2">
        <v>31295</v>
      </c>
      <c r="B319" s="2">
        <v>11</v>
      </c>
      <c r="C319" s="8">
        <v>1870020.22</v>
      </c>
      <c r="D319" s="8">
        <v>5390000</v>
      </c>
      <c r="E319" s="8">
        <v>646800</v>
      </c>
      <c r="F319" s="8">
        <v>7906820.2199999997</v>
      </c>
      <c r="G319" s="7">
        <v>45988</v>
      </c>
      <c r="H319" s="1" t="s">
        <v>35</v>
      </c>
      <c r="I319" s="1" t="str">
        <f>IF(G319&lt;=$K$1,"Pagado","Pendiente")</f>
        <v>Pagado</v>
      </c>
    </row>
    <row r="320" spans="1:10" hidden="1">
      <c r="A320" s="2">
        <v>885417900</v>
      </c>
      <c r="B320" s="2">
        <v>16</v>
      </c>
      <c r="C320" s="8">
        <v>27777777.777777776</v>
      </c>
      <c r="D320" s="8">
        <v>2547222.2222222169</v>
      </c>
      <c r="E320" s="8">
        <v>305666.66666666605</v>
      </c>
      <c r="F320" s="8">
        <v>30630666.66666666</v>
      </c>
      <c r="G320" s="7">
        <v>46231</v>
      </c>
      <c r="H320" s="1" t="s">
        <v>24</v>
      </c>
      <c r="I320" s="1" t="str">
        <f>IF(G320&lt;=$K$1,"Pagado","Pendiente")</f>
        <v>Pendiente</v>
      </c>
    </row>
    <row r="321" spans="1:9" hidden="1">
      <c r="A321" s="2">
        <v>20466</v>
      </c>
      <c r="B321" s="2">
        <v>47</v>
      </c>
      <c r="C321" s="8">
        <v>631627.23706015921</v>
      </c>
      <c r="D321" s="8">
        <v>730534.54672662658</v>
      </c>
      <c r="E321" s="8">
        <f>+D321*0.12</f>
        <v>87664.145607195183</v>
      </c>
      <c r="F321" s="8">
        <f>+C321+D321+E321</f>
        <v>1449825.9293939809</v>
      </c>
      <c r="G321" s="7">
        <v>46234</v>
      </c>
      <c r="H321" s="1" t="s">
        <v>31</v>
      </c>
      <c r="I321" s="1" t="str">
        <f>IF(G321&lt;=$K$1,"Pagado","Pendiente")</f>
        <v>Pendiente</v>
      </c>
    </row>
    <row r="322" spans="1:9" hidden="1">
      <c r="A322" s="2">
        <v>66235635</v>
      </c>
      <c r="B322" s="2">
        <v>12</v>
      </c>
      <c r="C322" s="8">
        <v>0</v>
      </c>
      <c r="D322" s="8">
        <v>7808219.1799999997</v>
      </c>
      <c r="E322" s="8">
        <v>936986.30000000075</v>
      </c>
      <c r="F322" s="8">
        <v>8745205.4800000004</v>
      </c>
      <c r="G322" s="7">
        <v>45840</v>
      </c>
      <c r="H322" s="1" t="s">
        <v>26</v>
      </c>
      <c r="I322" s="1" t="str">
        <f>IF(G322&lt;=$K$1,"Pagado","Pendiente")</f>
        <v>Pagado</v>
      </c>
    </row>
    <row r="323" spans="1:9" hidden="1">
      <c r="A323" s="2">
        <v>22044</v>
      </c>
      <c r="B323" s="2">
        <v>36</v>
      </c>
      <c r="C323" s="8">
        <v>915172.66381308925</v>
      </c>
      <c r="D323" s="8">
        <v>1816825.1870341587</v>
      </c>
      <c r="E323" s="8">
        <v>218019.02244409904</v>
      </c>
      <c r="F323" s="8">
        <v>2950016.8732913472</v>
      </c>
      <c r="G323" s="7">
        <v>46236</v>
      </c>
      <c r="H323" s="1" t="s">
        <v>31</v>
      </c>
      <c r="I323" s="1" t="str">
        <f>IF(G323&lt;=$K$1,"Pagado","Pendiente")</f>
        <v>Pendiente</v>
      </c>
    </row>
    <row r="324" spans="1:9" hidden="1">
      <c r="A324" s="2">
        <v>119980</v>
      </c>
      <c r="B324" s="2">
        <v>20</v>
      </c>
      <c r="C324" s="8">
        <v>14166666.67</v>
      </c>
      <c r="D324" s="8">
        <v>16295159.82</v>
      </c>
      <c r="E324" s="8">
        <f>+F324-D324-C324</f>
        <v>1955419.1800000016</v>
      </c>
      <c r="F324" s="8">
        <v>32417245.670000002</v>
      </c>
      <c r="G324" s="7">
        <v>46207</v>
      </c>
      <c r="H324" s="1" t="s">
        <v>26</v>
      </c>
      <c r="I324" s="1" t="str">
        <f>IF(G324&lt;=$K$1,"Pagado","Pendiente")</f>
        <v>Pendiente</v>
      </c>
    </row>
    <row r="325" spans="1:9" hidden="1">
      <c r="A325" s="2">
        <v>23700</v>
      </c>
      <c r="B325" s="2">
        <v>18</v>
      </c>
      <c r="C325" s="8">
        <v>13098120.48</v>
      </c>
      <c r="D325" s="8">
        <v>9523776.75</v>
      </c>
      <c r="E325" s="8">
        <v>1142853.21</v>
      </c>
      <c r="F325" s="8">
        <v>23764750.440000001</v>
      </c>
      <c r="G325" s="7">
        <v>46241</v>
      </c>
      <c r="H325" s="1" t="s">
        <v>31</v>
      </c>
      <c r="I325" s="1" t="str">
        <f>IF(G325&lt;=$K$1,"Pagado","Pendiente")</f>
        <v>Pendiente</v>
      </c>
    </row>
    <row r="326" spans="1:9" hidden="1">
      <c r="A326" s="2">
        <v>20828</v>
      </c>
      <c r="B326" s="2">
        <v>44</v>
      </c>
      <c r="C326" s="8">
        <v>756919.55986606365</v>
      </c>
      <c r="D326" s="8">
        <v>1026810.9657381092</v>
      </c>
      <c r="E326" s="8">
        <f>+D326*0.105</f>
        <v>107815.15140250146</v>
      </c>
      <c r="F326" s="8">
        <f>+C326+D326+E326</f>
        <v>1891545.6770066742</v>
      </c>
      <c r="G326" s="7">
        <v>46246</v>
      </c>
      <c r="H326" s="1" t="s">
        <v>31</v>
      </c>
      <c r="I326" s="1" t="str">
        <f>IF(G326&lt;=$K$1,"Pagado","Pendiente")</f>
        <v>Pendiente</v>
      </c>
    </row>
    <row r="327" spans="1:9" hidden="1">
      <c r="A327" s="2">
        <v>23996</v>
      </c>
      <c r="B327" s="2">
        <v>13</v>
      </c>
      <c r="C327" s="8">
        <v>1140706.1299999999</v>
      </c>
      <c r="D327" s="8">
        <v>9416095.8000000007</v>
      </c>
      <c r="E327" s="8">
        <v>1130873.1100000001</v>
      </c>
      <c r="F327" s="8">
        <f>+C327+D327+E327</f>
        <v>11687675.039999999</v>
      </c>
      <c r="G327" s="7">
        <v>46247</v>
      </c>
      <c r="H327" s="1" t="s">
        <v>31</v>
      </c>
      <c r="I327" s="1" t="str">
        <f>IF(G327&lt;=$K$1,"Pagado","Pendiente")</f>
        <v>Pendiente</v>
      </c>
    </row>
    <row r="328" spans="1:9" hidden="1">
      <c r="A328" s="2">
        <v>927328</v>
      </c>
      <c r="B328" s="2">
        <v>22</v>
      </c>
      <c r="C328" s="8">
        <v>5379358.9771120865</v>
      </c>
      <c r="D328" s="8">
        <v>8667660.6663538348</v>
      </c>
      <c r="E328" s="8">
        <v>1040119.2799624602</v>
      </c>
      <c r="F328" s="8">
        <v>15087138.923428381</v>
      </c>
      <c r="G328" s="7">
        <v>46251</v>
      </c>
      <c r="H328" s="1" t="s">
        <v>32</v>
      </c>
      <c r="I328" s="1" t="str">
        <f>IF(G328&lt;=$K$1,"Pagado","Pendiente")</f>
        <v>Pendiente</v>
      </c>
    </row>
    <row r="329" spans="1:9" hidden="1">
      <c r="A329" s="2">
        <v>75472831</v>
      </c>
      <c r="B329" s="2">
        <v>13</v>
      </c>
      <c r="C329" s="8">
        <v>2083333.33</v>
      </c>
      <c r="D329" s="8">
        <v>2717808.22</v>
      </c>
      <c r="E329" s="8">
        <f>+F329-D329-C329</f>
        <v>326136.98</v>
      </c>
      <c r="F329" s="8">
        <v>5127278.53</v>
      </c>
      <c r="G329" s="7">
        <v>45978</v>
      </c>
      <c r="H329" s="1" t="s">
        <v>26</v>
      </c>
      <c r="I329" s="1" t="str">
        <f>IF(G329&lt;=$K$1,"Pagado","Pendiente")</f>
        <v>Pagado</v>
      </c>
    </row>
    <row r="330" spans="1:9" hidden="1">
      <c r="A330" s="2">
        <v>863502400</v>
      </c>
      <c r="B330" s="2">
        <v>12</v>
      </c>
      <c r="C330" s="8">
        <v>2586699.81</v>
      </c>
      <c r="D330" s="8">
        <v>7434887.4199999999</v>
      </c>
      <c r="E330" s="8">
        <v>892186.49</v>
      </c>
      <c r="F330" s="8">
        <v>10913773.720000001</v>
      </c>
      <c r="G330" s="7">
        <v>46008</v>
      </c>
      <c r="H330" s="1" t="s">
        <v>24</v>
      </c>
      <c r="I330" s="1" t="str">
        <f>IF(G330&lt;=$K$1,"Pagado","Pendiente")</f>
        <v>Pagado</v>
      </c>
    </row>
    <row r="331" spans="1:9" hidden="1">
      <c r="A331" s="2">
        <v>863502600</v>
      </c>
      <c r="B331" s="2">
        <v>20</v>
      </c>
      <c r="C331" s="8">
        <v>1668008.73</v>
      </c>
      <c r="D331" s="8">
        <v>3515570.87</v>
      </c>
      <c r="E331" s="8">
        <v>421868.5</v>
      </c>
      <c r="F331" s="8">
        <v>5605448.0999999996</v>
      </c>
      <c r="G331" s="7">
        <v>46251</v>
      </c>
      <c r="H331" s="1" t="s">
        <v>24</v>
      </c>
      <c r="I331" s="1" t="str">
        <f>IF(G331&lt;=$K$1,"Pagado","Pendiente")</f>
        <v>Pendiente</v>
      </c>
    </row>
    <row r="332" spans="1:9" hidden="1">
      <c r="A332" s="2">
        <v>23790</v>
      </c>
      <c r="B332" s="2">
        <v>17</v>
      </c>
      <c r="C332" s="8">
        <v>12697997.707383916</v>
      </c>
      <c r="D332" s="8">
        <v>10097236.387281444</v>
      </c>
      <c r="E332" s="8">
        <v>1211668.3664737733</v>
      </c>
      <c r="F332" s="8">
        <v>24006902.461139131</v>
      </c>
      <c r="G332" s="7">
        <v>46251</v>
      </c>
      <c r="H332" s="1" t="s">
        <v>31</v>
      </c>
      <c r="I332" s="1" t="str">
        <f>IF(G332&lt;=$K$1,"Pagado","Pendiente")</f>
        <v>Pendiente</v>
      </c>
    </row>
    <row r="333" spans="1:9" hidden="1">
      <c r="A333" s="2">
        <v>24004</v>
      </c>
      <c r="B333" s="2">
        <v>13</v>
      </c>
      <c r="C333" s="8">
        <v>1182164.6399999999</v>
      </c>
      <c r="D333" s="8">
        <v>4592344.93</v>
      </c>
      <c r="E333" s="8">
        <v>551540.62</v>
      </c>
      <c r="F333" s="8">
        <v>6326050.1900000004</v>
      </c>
      <c r="G333" s="7">
        <v>46251</v>
      </c>
      <c r="H333" s="1" t="s">
        <v>31</v>
      </c>
      <c r="I333" s="1" t="str">
        <f>IF(G333&lt;=$K$1,"Pagado","Pendiente")</f>
        <v>Pendiente</v>
      </c>
    </row>
    <row r="334" spans="1:9" hidden="1">
      <c r="A334" s="2">
        <v>65210751</v>
      </c>
      <c r="B334" s="2">
        <v>12</v>
      </c>
      <c r="C334" s="8">
        <v>0</v>
      </c>
      <c r="D334" s="8">
        <v>8835616.4399999995</v>
      </c>
      <c r="E334" s="8">
        <v>1060273.9800000004</v>
      </c>
      <c r="F334" s="8">
        <v>9895890.4199999999</v>
      </c>
      <c r="G334" s="7">
        <v>45826</v>
      </c>
      <c r="H334" s="1" t="s">
        <v>26</v>
      </c>
      <c r="I334" s="1" t="str">
        <f>IF(G334&lt;=$K$1,"Pagado","Pendiente")</f>
        <v>Pagado</v>
      </c>
    </row>
    <row r="335" spans="1:9" hidden="1">
      <c r="A335" s="2">
        <v>23430</v>
      </c>
      <c r="B335" s="2">
        <v>25</v>
      </c>
      <c r="C335" s="8">
        <v>658944.85</v>
      </c>
      <c r="D335" s="8">
        <v>3930479.4</v>
      </c>
      <c r="E335" s="8">
        <v>471657.53</v>
      </c>
      <c r="F335" s="8">
        <v>5061081.78</v>
      </c>
      <c r="G335" s="7">
        <v>46253</v>
      </c>
      <c r="H335" s="1" t="s">
        <v>31</v>
      </c>
      <c r="I335" s="1" t="str">
        <f>IF(G335&lt;=$K$1,"Pagado","Pendiente")</f>
        <v>Pendiente</v>
      </c>
    </row>
    <row r="336" spans="1:9" hidden="1">
      <c r="A336" s="2">
        <v>23467</v>
      </c>
      <c r="B336" s="2">
        <v>24</v>
      </c>
      <c r="C336" s="8">
        <v>2471043.2000000002</v>
      </c>
      <c r="D336" s="8">
        <v>14739297.76</v>
      </c>
      <c r="E336" s="8">
        <v>1768715.73</v>
      </c>
      <c r="F336" s="8">
        <v>18979056.690000001</v>
      </c>
      <c r="G336" s="7">
        <v>46253</v>
      </c>
      <c r="H336" s="1" t="s">
        <v>31</v>
      </c>
      <c r="I336" s="1" t="str">
        <f>IF(G336&lt;=$K$1,"Pagado","Pendiente")</f>
        <v>Pendiente</v>
      </c>
    </row>
    <row r="337" spans="1:9" hidden="1">
      <c r="A337" s="2">
        <v>885417400</v>
      </c>
      <c r="B337" s="2">
        <v>17</v>
      </c>
      <c r="C337" s="8">
        <v>27777777.777777776</v>
      </c>
      <c r="D337" s="8">
        <v>1698148.148148143</v>
      </c>
      <c r="E337" s="8">
        <v>203777.77777777717</v>
      </c>
      <c r="F337" s="8">
        <v>29679703.703703698</v>
      </c>
      <c r="G337" s="7">
        <v>46259</v>
      </c>
      <c r="H337" s="1" t="s">
        <v>24</v>
      </c>
      <c r="I337" s="1" t="str">
        <f>IF(G337&lt;=$K$1,"Pagado","Pendiente")</f>
        <v>Pendiente</v>
      </c>
    </row>
    <row r="338" spans="1:9" hidden="1">
      <c r="A338" s="2">
        <v>394949</v>
      </c>
      <c r="B338" s="2">
        <v>20</v>
      </c>
      <c r="C338" s="8">
        <v>1115984.6100000001</v>
      </c>
      <c r="D338" s="8">
        <v>3790332.68</v>
      </c>
      <c r="E338" s="8">
        <v>454839.92</v>
      </c>
      <c r="F338" s="8">
        <v>5361157.21</v>
      </c>
      <c r="G338" s="7">
        <v>46260</v>
      </c>
      <c r="H338" s="1" t="s">
        <v>30</v>
      </c>
      <c r="I338" s="1" t="str">
        <f>IF(G338&lt;=$K$1,"Pagado","Pendiente")</f>
        <v>Pendiente</v>
      </c>
    </row>
    <row r="339" spans="1:9" hidden="1">
      <c r="A339" s="2">
        <v>347916</v>
      </c>
      <c r="B339" s="2">
        <v>26</v>
      </c>
      <c r="C339" s="8">
        <v>2970601.708586595</v>
      </c>
      <c r="D339" s="8">
        <v>5482582.0596728316</v>
      </c>
      <c r="E339" s="8">
        <v>657909.84716073982</v>
      </c>
      <c r="F339" s="8">
        <v>9111093.6154201664</v>
      </c>
      <c r="G339" s="7">
        <v>46261</v>
      </c>
      <c r="H339" s="1" t="s">
        <v>30</v>
      </c>
      <c r="I339" s="1" t="str">
        <f>IF(G339&lt;=$K$1,"Pagado","Pendiente")</f>
        <v>Pendiente</v>
      </c>
    </row>
    <row r="340" spans="1:9" hidden="1">
      <c r="A340" s="9">
        <v>2537844</v>
      </c>
      <c r="B340" s="9">
        <v>12</v>
      </c>
      <c r="C340" s="13">
        <v>2500000</v>
      </c>
      <c r="D340" s="13">
        <v>2128767.13</v>
      </c>
      <c r="E340" s="13">
        <f>+D340*0.12</f>
        <v>255452.05559999996</v>
      </c>
      <c r="F340" s="13">
        <f>+C340+D340+E340</f>
        <v>4884219.1855999995</v>
      </c>
      <c r="G340" s="11">
        <v>45743</v>
      </c>
      <c r="H340" s="10" t="s">
        <v>29</v>
      </c>
      <c r="I340" s="1" t="str">
        <f>IF(G340&lt;=$K$1,"Pagado","Pendiente")</f>
        <v>Pagado</v>
      </c>
    </row>
    <row r="341" spans="1:9" hidden="1">
      <c r="A341" s="2">
        <v>843950300</v>
      </c>
      <c r="B341" s="2">
        <v>12</v>
      </c>
      <c r="C341" s="8">
        <v>2014637.84</v>
      </c>
      <c r="D341" s="8">
        <v>5760731.5599999996</v>
      </c>
      <c r="E341" s="8">
        <f>+F341-D341-C341</f>
        <v>691287.78</v>
      </c>
      <c r="F341" s="8">
        <v>8466657.1799999997</v>
      </c>
      <c r="G341" s="7">
        <v>45927</v>
      </c>
      <c r="H341" s="1" t="s">
        <v>24</v>
      </c>
      <c r="I341" s="1" t="str">
        <f>IF(G341&lt;=$K$1,"Pagado","Pendiente")</f>
        <v>Pagado</v>
      </c>
    </row>
    <row r="342" spans="1:9" hidden="1">
      <c r="A342" s="2">
        <v>31295</v>
      </c>
      <c r="B342" s="2">
        <v>12</v>
      </c>
      <c r="C342" s="8">
        <v>1921445.78</v>
      </c>
      <c r="D342" s="8">
        <v>5338574.4400000004</v>
      </c>
      <c r="E342" s="8">
        <v>640628.93999999994</v>
      </c>
      <c r="F342" s="8">
        <v>7900649.1600000001</v>
      </c>
      <c r="G342" s="7">
        <v>46020</v>
      </c>
      <c r="H342" s="1" t="s">
        <v>35</v>
      </c>
      <c r="I342" s="1" t="str">
        <f>IF(G342&lt;=$K$1,"Pagado","Pendiente")</f>
        <v>Pagado</v>
      </c>
    </row>
    <row r="343" spans="1:9" hidden="1">
      <c r="A343" s="2">
        <v>885417900</v>
      </c>
      <c r="B343" s="2">
        <v>17</v>
      </c>
      <c r="C343" s="8">
        <v>27777777.777777776</v>
      </c>
      <c r="D343" s="8">
        <v>1698148.148148143</v>
      </c>
      <c r="E343" s="8">
        <v>203777.77777777717</v>
      </c>
      <c r="F343" s="8">
        <v>29679703.703703698</v>
      </c>
      <c r="G343" s="7">
        <v>46262</v>
      </c>
      <c r="H343" s="1" t="s">
        <v>24</v>
      </c>
      <c r="I343" s="1" t="str">
        <f>IF(G343&lt;=$K$1,"Pagado","Pendiente")</f>
        <v>Pendiente</v>
      </c>
    </row>
    <row r="344" spans="1:9" hidden="1">
      <c r="A344" s="2">
        <v>20466</v>
      </c>
      <c r="B344" s="2">
        <v>48</v>
      </c>
      <c r="C344" s="8">
        <v>650576.05417196406</v>
      </c>
      <c r="D344" s="8">
        <v>711585.72961482173</v>
      </c>
      <c r="E344" s="8">
        <f>+D344*0.12</f>
        <v>85390.287553778602</v>
      </c>
      <c r="F344" s="8">
        <f>+C344+D344+E344</f>
        <v>1447552.0713405644</v>
      </c>
      <c r="G344" s="7">
        <v>46265</v>
      </c>
      <c r="H344" s="1" t="s">
        <v>31</v>
      </c>
      <c r="I344" s="1" t="str">
        <f>IF(G344&lt;=$K$1,"Pagado","Pendiente")</f>
        <v>Pendiente</v>
      </c>
    </row>
    <row r="345" spans="1:9" hidden="1">
      <c r="A345" s="2">
        <v>66235635</v>
      </c>
      <c r="B345" s="2">
        <v>13</v>
      </c>
      <c r="C345" s="8">
        <v>7916666.6699999999</v>
      </c>
      <c r="D345" s="8">
        <v>8589041.0999999996</v>
      </c>
      <c r="E345" s="8">
        <v>1030684.9400000013</v>
      </c>
      <c r="F345" s="8">
        <v>17536392.710000001</v>
      </c>
      <c r="G345" s="7">
        <v>45871</v>
      </c>
      <c r="H345" s="1" t="s">
        <v>26</v>
      </c>
      <c r="I345" s="1" t="str">
        <f>IF(G345&lt;=$K$1,"Pagado","Pendiente")</f>
        <v>Pagado</v>
      </c>
    </row>
    <row r="346" spans="1:9" hidden="1">
      <c r="A346" s="2">
        <v>22044</v>
      </c>
      <c r="B346" s="2">
        <v>37</v>
      </c>
      <c r="C346" s="8">
        <v>942627.84372748202</v>
      </c>
      <c r="D346" s="8">
        <v>1789370.007119766</v>
      </c>
      <c r="E346" s="8">
        <v>214724.40085437192</v>
      </c>
      <c r="F346" s="8">
        <v>2946722.2517016199</v>
      </c>
      <c r="G346" s="7">
        <v>46267</v>
      </c>
      <c r="H346" s="1" t="s">
        <v>31</v>
      </c>
      <c r="I346" s="1" t="str">
        <f>IF(G346&lt;=$K$1,"Pagado","Pendiente")</f>
        <v>Pendiente</v>
      </c>
    </row>
    <row r="347" spans="1:9" hidden="1">
      <c r="A347" s="2">
        <v>119980</v>
      </c>
      <c r="B347" s="2">
        <v>21</v>
      </c>
      <c r="C347" s="8">
        <v>14166666.67</v>
      </c>
      <c r="D347" s="8">
        <v>14407305.939999999</v>
      </c>
      <c r="E347" s="8">
        <f>+F347-D347-C347</f>
        <v>1728876.7100000009</v>
      </c>
      <c r="F347" s="8">
        <v>30302849.32</v>
      </c>
      <c r="G347" s="7">
        <v>46238</v>
      </c>
      <c r="H347" s="1" t="s">
        <v>26</v>
      </c>
      <c r="I347" s="1" t="str">
        <f>IF(G347&lt;=$K$1,"Pagado","Pendiente")</f>
        <v>Pendiente</v>
      </c>
    </row>
    <row r="348" spans="1:9" hidden="1">
      <c r="A348" s="2">
        <v>23700</v>
      </c>
      <c r="B348" s="2">
        <v>19</v>
      </c>
      <c r="C348" s="8">
        <v>13480298.52</v>
      </c>
      <c r="D348" s="8">
        <v>9141598.7100000009</v>
      </c>
      <c r="E348" s="8">
        <v>1096991.8400000001</v>
      </c>
      <c r="F348" s="8">
        <v>23718889.07</v>
      </c>
      <c r="G348" s="7">
        <v>46272</v>
      </c>
      <c r="H348" s="1" t="s">
        <v>31</v>
      </c>
      <c r="I348" s="1" t="str">
        <f>IF(G348&lt;=$K$1,"Pagado","Pendiente")</f>
        <v>Pendiente</v>
      </c>
    </row>
    <row r="349" spans="1:9" hidden="1">
      <c r="A349" s="2">
        <v>20828</v>
      </c>
      <c r="B349" s="2">
        <v>45</v>
      </c>
      <c r="C349" s="8">
        <v>779627.1466620455</v>
      </c>
      <c r="D349" s="8">
        <v>1004103.3789421273</v>
      </c>
      <c r="E349" s="8">
        <f>+D349*0.105</f>
        <v>105430.85478892336</v>
      </c>
      <c r="F349" s="8">
        <f>+C349+D349+E349</f>
        <v>1889161.3803930962</v>
      </c>
      <c r="G349" s="7">
        <v>46277</v>
      </c>
      <c r="H349" s="1" t="s">
        <v>31</v>
      </c>
      <c r="I349" s="1" t="str">
        <f>IF(G349&lt;=$K$1,"Pagado","Pendiente")</f>
        <v>Pendiente</v>
      </c>
    </row>
    <row r="350" spans="1:9" hidden="1">
      <c r="A350" s="2">
        <v>23996</v>
      </c>
      <c r="B350" s="2">
        <v>14</v>
      </c>
      <c r="C350" s="8">
        <v>1176509.46</v>
      </c>
      <c r="D350" s="8">
        <v>9380292.4700000007</v>
      </c>
      <c r="E350" s="8">
        <v>1126573.1299999999</v>
      </c>
      <c r="F350" s="8">
        <f>+C350+D350+E350</f>
        <v>11683375.059999999</v>
      </c>
      <c r="G350" s="7">
        <v>46278</v>
      </c>
      <c r="H350" s="1" t="s">
        <v>31</v>
      </c>
      <c r="I350" s="1" t="str">
        <f>IF(G350&lt;=$K$1,"Pagado","Pendiente")</f>
        <v>Pendiente</v>
      </c>
    </row>
    <row r="351" spans="1:9" hidden="1">
      <c r="A351" s="2">
        <v>927328</v>
      </c>
      <c r="B351" s="2">
        <v>23</v>
      </c>
      <c r="C351" s="8">
        <v>5513394.6716251299</v>
      </c>
      <c r="D351" s="8">
        <v>8533624.9718407914</v>
      </c>
      <c r="E351" s="8">
        <v>1024034.996620895</v>
      </c>
      <c r="F351" s="8">
        <v>15071054.640086817</v>
      </c>
      <c r="G351" s="7">
        <v>46282</v>
      </c>
      <c r="H351" s="1" t="s">
        <v>32</v>
      </c>
      <c r="I351" s="1" t="str">
        <f>IF(G351&lt;=$K$1,"Pagado","Pendiente")</f>
        <v>Pendiente</v>
      </c>
    </row>
    <row r="352" spans="1:9" hidden="1">
      <c r="A352" s="2">
        <v>75472831</v>
      </c>
      <c r="B352" s="2">
        <v>14</v>
      </c>
      <c r="C352" s="8">
        <v>2083333.33</v>
      </c>
      <c r="D352" s="8">
        <v>2575342.4700000002</v>
      </c>
      <c r="E352" s="8">
        <f>+F352-D352-C352</f>
        <v>309041.10000000009</v>
      </c>
      <c r="F352" s="8">
        <v>4967716.9000000004</v>
      </c>
      <c r="G352" s="7">
        <v>46008</v>
      </c>
      <c r="H352" s="1" t="s">
        <v>26</v>
      </c>
      <c r="I352" s="1" t="str">
        <f>IF(G352&lt;=$K$1,"Pagado","Pendiente")</f>
        <v>Pagado</v>
      </c>
    </row>
    <row r="353" spans="1:9" hidden="1">
      <c r="A353" s="2">
        <v>863502400</v>
      </c>
      <c r="B353" s="2">
        <v>13</v>
      </c>
      <c r="C353" s="8">
        <v>2658985.14</v>
      </c>
      <c r="D353" s="8">
        <v>7362602.0899999999</v>
      </c>
      <c r="E353" s="8">
        <v>883512.25</v>
      </c>
      <c r="F353" s="8">
        <v>10905099.48</v>
      </c>
      <c r="G353" s="7">
        <v>46039</v>
      </c>
      <c r="H353" s="1" t="s">
        <v>24</v>
      </c>
      <c r="I353" s="1" t="str">
        <f>IF(G353&lt;=$K$1,"Pagado","Pendiente")</f>
        <v>Pagado</v>
      </c>
    </row>
    <row r="354" spans="1:9" hidden="1">
      <c r="A354" s="2">
        <v>863502600</v>
      </c>
      <c r="B354" s="2">
        <v>21</v>
      </c>
      <c r="C354" s="8">
        <v>1714621.24</v>
      </c>
      <c r="D354" s="8">
        <v>3468958.36</v>
      </c>
      <c r="E354" s="8">
        <v>416275.01</v>
      </c>
      <c r="F354" s="8">
        <v>5599854.6100000003</v>
      </c>
      <c r="G354" s="7">
        <v>46282</v>
      </c>
      <c r="H354" s="1" t="s">
        <v>24</v>
      </c>
      <c r="I354" s="1" t="str">
        <f>IF(G354&lt;=$K$1,"Pagado","Pendiente")</f>
        <v>Pendiente</v>
      </c>
    </row>
    <row r="355" spans="1:9" hidden="1">
      <c r="A355" s="2">
        <v>23790</v>
      </c>
      <c r="B355" s="2">
        <v>18</v>
      </c>
      <c r="C355" s="8">
        <v>13074969.514321877</v>
      </c>
      <c r="D355" s="8">
        <v>9720264.580343483</v>
      </c>
      <c r="E355" s="8">
        <v>1166431.749641218</v>
      </c>
      <c r="F355" s="8">
        <v>23961665.844306577</v>
      </c>
      <c r="G355" s="7">
        <v>46282</v>
      </c>
      <c r="H355" s="1" t="s">
        <v>31</v>
      </c>
      <c r="I355" s="1" t="str">
        <f>IF(G355&lt;=$K$1,"Pagado","Pendiente")</f>
        <v>Pendiente</v>
      </c>
    </row>
    <row r="356" spans="1:9" hidden="1">
      <c r="A356" s="2">
        <v>24004</v>
      </c>
      <c r="B356" s="2">
        <v>14</v>
      </c>
      <c r="C356" s="8">
        <v>1221880.51</v>
      </c>
      <c r="D356" s="8">
        <v>4552629.0599999996</v>
      </c>
      <c r="E356" s="8">
        <v>546770.75</v>
      </c>
      <c r="F356" s="8">
        <v>6321280.3200000003</v>
      </c>
      <c r="G356" s="7">
        <v>46282</v>
      </c>
      <c r="H356" s="1" t="s">
        <v>31</v>
      </c>
      <c r="I356" s="1" t="str">
        <f>IF(G356&lt;=$K$1,"Pagado","Pendiente")</f>
        <v>Pendiente</v>
      </c>
    </row>
    <row r="357" spans="1:9" hidden="1">
      <c r="A357" s="2">
        <v>65210751</v>
      </c>
      <c r="B357" s="2">
        <v>13</v>
      </c>
      <c r="C357" s="8">
        <v>8958333.3300000001</v>
      </c>
      <c r="D357" s="8">
        <v>8835616.4399999995</v>
      </c>
      <c r="E357" s="8">
        <v>1060273.9800000004</v>
      </c>
      <c r="F357" s="8">
        <v>18854223.75</v>
      </c>
      <c r="G357" s="7">
        <v>45856</v>
      </c>
      <c r="H357" s="1" t="s">
        <v>26</v>
      </c>
      <c r="I357" s="1" t="str">
        <f>IF(G357&lt;=$K$1,"Pagado","Pendiente")</f>
        <v>Pagado</v>
      </c>
    </row>
    <row r="358" spans="1:9" hidden="1">
      <c r="A358" s="2">
        <v>23430</v>
      </c>
      <c r="B358" s="2">
        <v>26</v>
      </c>
      <c r="C358" s="8">
        <v>680608.79</v>
      </c>
      <c r="D358" s="8">
        <v>3908815.46</v>
      </c>
      <c r="E358" s="8">
        <v>469057.85</v>
      </c>
      <c r="F358" s="8">
        <v>5058482.0999999996</v>
      </c>
      <c r="G358" s="7">
        <v>46284</v>
      </c>
      <c r="H358" s="1" t="s">
        <v>31</v>
      </c>
      <c r="I358" s="1" t="str">
        <f>IF(G358&lt;=$K$1,"Pagado","Pendiente")</f>
        <v>Pendiente</v>
      </c>
    </row>
    <row r="359" spans="1:9" hidden="1">
      <c r="A359" s="2">
        <v>23467</v>
      </c>
      <c r="B359" s="2">
        <v>25</v>
      </c>
      <c r="C359" s="8">
        <v>2552282.98</v>
      </c>
      <c r="D359" s="8">
        <v>14658057.98</v>
      </c>
      <c r="E359" s="8">
        <v>1758966.96</v>
      </c>
      <c r="F359" s="8">
        <v>18969307.920000002</v>
      </c>
      <c r="G359" s="7">
        <v>46284</v>
      </c>
      <c r="H359" s="1" t="s">
        <v>31</v>
      </c>
      <c r="I359" s="1" t="str">
        <f>IF(G359&lt;=$K$1,"Pagado","Pendiente")</f>
        <v>Pendiente</v>
      </c>
    </row>
    <row r="360" spans="1:9" s="10" customFormat="1" hidden="1">
      <c r="A360" s="9">
        <v>2537844</v>
      </c>
      <c r="B360" s="9">
        <v>13</v>
      </c>
      <c r="C360" s="13">
        <v>2500000</v>
      </c>
      <c r="D360" s="13">
        <v>2293150.6874999995</v>
      </c>
      <c r="E360" s="13">
        <v>275178.0824999999</v>
      </c>
      <c r="F360" s="13">
        <v>5068328.7699999996</v>
      </c>
      <c r="G360" s="11">
        <v>45774</v>
      </c>
      <c r="H360" s="10" t="s">
        <v>29</v>
      </c>
      <c r="I360" s="1" t="str">
        <f>IF(G360&lt;=$K$1,"Pagado","Pendiente")</f>
        <v>Pagado</v>
      </c>
    </row>
    <row r="361" spans="1:9" s="10" customFormat="1" hidden="1">
      <c r="A361" s="9">
        <v>2537844</v>
      </c>
      <c r="B361" s="9">
        <v>14</v>
      </c>
      <c r="C361" s="13">
        <v>2500000</v>
      </c>
      <c r="D361" s="13">
        <v>2157534.2589285714</v>
      </c>
      <c r="E361" s="13">
        <v>258904.11107142855</v>
      </c>
      <c r="F361" s="13">
        <v>4916438.37</v>
      </c>
      <c r="G361" s="11">
        <v>45804</v>
      </c>
      <c r="H361" s="10" t="s">
        <v>29</v>
      </c>
      <c r="I361" s="1" t="str">
        <f>IF(G361&lt;=$K$1,"Pagado","Pendiente")</f>
        <v>Pagado</v>
      </c>
    </row>
    <row r="362" spans="1:9" s="10" customFormat="1" hidden="1">
      <c r="A362" s="9">
        <v>2537844</v>
      </c>
      <c r="B362" s="9">
        <v>15</v>
      </c>
      <c r="C362" s="13">
        <v>2500000</v>
      </c>
      <c r="D362" s="13">
        <v>2165753.335</v>
      </c>
      <c r="E362" s="13">
        <v>259890.40019999997</v>
      </c>
      <c r="F362" s="13">
        <v>4925643.7352</v>
      </c>
      <c r="G362" s="11">
        <v>45835</v>
      </c>
      <c r="H362" s="10" t="s">
        <v>29</v>
      </c>
      <c r="I362" s="1" t="str">
        <f>IF(G362&lt;=$K$1,"Pagado","Pendiente")</f>
        <v>Pagado</v>
      </c>
    </row>
    <row r="363" spans="1:9" s="10" customFormat="1" hidden="1">
      <c r="A363" s="2">
        <v>2537844</v>
      </c>
      <c r="B363" s="2">
        <v>16</v>
      </c>
      <c r="C363" s="8">
        <v>2500000</v>
      </c>
      <c r="D363" s="8">
        <v>2102054.7075</v>
      </c>
      <c r="E363" s="8">
        <v>252246.5649</v>
      </c>
      <c r="F363" s="8">
        <v>4854301.2723999992</v>
      </c>
      <c r="G363" s="7">
        <v>45865</v>
      </c>
      <c r="H363" s="1" t="s">
        <v>29</v>
      </c>
      <c r="I363" s="1" t="str">
        <f>IF(G363&lt;=$K$1,"Pagado","Pendiente")</f>
        <v>Pagado</v>
      </c>
    </row>
    <row r="364" spans="1:9" s="10" customFormat="1" hidden="1">
      <c r="A364" s="2">
        <v>2537844</v>
      </c>
      <c r="B364" s="2">
        <v>17</v>
      </c>
      <c r="C364" s="8">
        <v>2500000</v>
      </c>
      <c r="D364" s="8">
        <v>2038356.08</v>
      </c>
      <c r="E364" s="8">
        <v>244602.72959999999</v>
      </c>
      <c r="F364" s="8">
        <v>4782958.8096000003</v>
      </c>
      <c r="G364" s="7">
        <v>45896</v>
      </c>
      <c r="H364" s="1" t="s">
        <v>29</v>
      </c>
      <c r="I364" s="1" t="str">
        <f>IF(G364&lt;=$K$1,"Pagado","Pendiente")</f>
        <v>Pagado</v>
      </c>
    </row>
    <row r="365" spans="1:9" s="10" customFormat="1" hidden="1">
      <c r="A365" s="2">
        <v>2537844</v>
      </c>
      <c r="B365" s="2">
        <v>18</v>
      </c>
      <c r="C365" s="8">
        <v>2500000</v>
      </c>
      <c r="D365" s="8">
        <v>1974657.4525000001</v>
      </c>
      <c r="E365" s="8">
        <v>236958.89430000001</v>
      </c>
      <c r="F365" s="8">
        <v>4711616.3468000004</v>
      </c>
      <c r="G365" s="7">
        <v>45927</v>
      </c>
      <c r="H365" s="1" t="s">
        <v>29</v>
      </c>
      <c r="I365" s="1" t="str">
        <f>IF(G365&lt;=$K$1,"Pagado","Pendiente")</f>
        <v>Pagado</v>
      </c>
    </row>
    <row r="366" spans="1:9" s="10" customFormat="1" hidden="1">
      <c r="A366" s="2">
        <v>2537844</v>
      </c>
      <c r="B366" s="2">
        <v>19</v>
      </c>
      <c r="C366" s="8">
        <v>2500000</v>
      </c>
      <c r="D366" s="8">
        <v>1910958.825</v>
      </c>
      <c r="E366" s="8">
        <v>229315.05899999998</v>
      </c>
      <c r="F366" s="8">
        <v>4640273.8840000005</v>
      </c>
      <c r="G366" s="7">
        <v>45957</v>
      </c>
      <c r="H366" s="1" t="s">
        <v>29</v>
      </c>
      <c r="I366" s="1" t="str">
        <f>IF(G366&lt;=$K$1,"Pagado","Pendiente")</f>
        <v>Pagado</v>
      </c>
    </row>
    <row r="367" spans="1:9" s="10" customFormat="1" hidden="1">
      <c r="A367" s="2">
        <v>2537844</v>
      </c>
      <c r="B367" s="2">
        <v>20</v>
      </c>
      <c r="C367" s="8">
        <v>2500000</v>
      </c>
      <c r="D367" s="8">
        <v>1847260.1975</v>
      </c>
      <c r="E367" s="8">
        <v>221671.2237</v>
      </c>
      <c r="F367" s="8">
        <v>4568931.4211999997</v>
      </c>
      <c r="G367" s="7">
        <v>45988</v>
      </c>
      <c r="H367" s="1" t="s">
        <v>29</v>
      </c>
      <c r="I367" s="1" t="str">
        <f>IF(G367&lt;=$K$1,"Pagado","Pendiente")</f>
        <v>Pagado</v>
      </c>
    </row>
    <row r="368" spans="1:9" s="10" customFormat="1" hidden="1">
      <c r="A368" s="2">
        <v>2537844</v>
      </c>
      <c r="B368" s="2">
        <v>21</v>
      </c>
      <c r="C368" s="8">
        <v>2500000</v>
      </c>
      <c r="D368" s="8">
        <v>1783561.57</v>
      </c>
      <c r="E368" s="8">
        <v>214027.3884</v>
      </c>
      <c r="F368" s="8">
        <v>4497588.9583999999</v>
      </c>
      <c r="G368" s="7">
        <v>46018</v>
      </c>
      <c r="H368" s="1" t="s">
        <v>29</v>
      </c>
      <c r="I368" s="1" t="str">
        <f>IF(G368&lt;=$K$1,"Pagado","Pendiente")</f>
        <v>Pagado</v>
      </c>
    </row>
    <row r="369" spans="1:10" s="10" customFormat="1" hidden="1">
      <c r="A369" s="2">
        <v>2537844</v>
      </c>
      <c r="B369" s="2">
        <v>22</v>
      </c>
      <c r="C369" s="8">
        <v>2500000</v>
      </c>
      <c r="D369" s="8">
        <v>1719862.9425000001</v>
      </c>
      <c r="E369" s="8">
        <v>206383.55310000002</v>
      </c>
      <c r="F369" s="8">
        <v>4426246.4956</v>
      </c>
      <c r="G369" s="7">
        <v>46049</v>
      </c>
      <c r="H369" s="1" t="s">
        <v>29</v>
      </c>
      <c r="I369" s="1" t="str">
        <f>IF(G369&lt;=$K$1,"Pagado","Pendiente")</f>
        <v>Pagado</v>
      </c>
    </row>
    <row r="370" spans="1:10" s="10" customFormat="1" hidden="1">
      <c r="A370" s="2">
        <v>2537844</v>
      </c>
      <c r="B370" s="2">
        <v>23</v>
      </c>
      <c r="C370" s="8">
        <v>2500000</v>
      </c>
      <c r="D370" s="8">
        <v>1656164.3149999999</v>
      </c>
      <c r="E370" s="8">
        <v>198739.71779999998</v>
      </c>
      <c r="F370" s="8">
        <v>4354904.0328000002</v>
      </c>
      <c r="G370" s="7">
        <v>46080</v>
      </c>
      <c r="H370" s="1" t="s">
        <v>29</v>
      </c>
      <c r="I370" s="1" t="str">
        <f>IF(G370&lt;=$K$1,"Pagado","Pendiente")</f>
        <v>Pagado</v>
      </c>
      <c r="J370" s="20"/>
    </row>
    <row r="371" spans="1:10" s="10" customFormat="1" hidden="1">
      <c r="A371" s="2">
        <v>2537844</v>
      </c>
      <c r="B371" s="2">
        <v>24</v>
      </c>
      <c r="C371" s="8">
        <v>2500000</v>
      </c>
      <c r="D371" s="8">
        <v>1592465.6875</v>
      </c>
      <c r="E371" s="8">
        <v>191095.88250000001</v>
      </c>
      <c r="F371" s="8">
        <v>4283561.57</v>
      </c>
      <c r="G371" s="7">
        <v>46108</v>
      </c>
      <c r="H371" s="1" t="s">
        <v>29</v>
      </c>
      <c r="I371" s="1" t="str">
        <f>IF(G371&lt;=$K$1,"Pagado","Pendiente")</f>
        <v>Pagado</v>
      </c>
    </row>
    <row r="372" spans="1:10" s="10" customFormat="1" hidden="1">
      <c r="A372" s="2">
        <v>2537844</v>
      </c>
      <c r="B372" s="2">
        <v>25</v>
      </c>
      <c r="C372" s="8">
        <v>2500000</v>
      </c>
      <c r="D372" s="8">
        <v>1528767.06</v>
      </c>
      <c r="E372" s="8">
        <v>183452.0472</v>
      </c>
      <c r="F372" s="8">
        <v>4212219.1072000004</v>
      </c>
      <c r="G372" s="7">
        <v>46139</v>
      </c>
      <c r="H372" s="1" t="s">
        <v>29</v>
      </c>
      <c r="I372" s="1" t="str">
        <f>IF(G372&lt;=$K$1,"Pagado","Pendiente")</f>
        <v>Pagado</v>
      </c>
    </row>
    <row r="373" spans="1:10" s="10" customFormat="1">
      <c r="A373" s="2">
        <v>31295</v>
      </c>
      <c r="B373" s="2">
        <v>17</v>
      </c>
      <c r="C373" s="8">
        <v>2200580.63</v>
      </c>
      <c r="D373" s="8">
        <v>5059439.59</v>
      </c>
      <c r="E373" s="8">
        <v>607132.75</v>
      </c>
      <c r="F373" s="8">
        <v>7867152.9699999997</v>
      </c>
      <c r="G373" s="7">
        <v>46169</v>
      </c>
      <c r="H373" s="1" t="s">
        <v>35</v>
      </c>
      <c r="I373" s="1" t="str">
        <f>IF(G373&lt;=$K$1,"Pagado","Pendiente")</f>
        <v>Pendiente</v>
      </c>
      <c r="J373" s="15"/>
    </row>
    <row r="374" spans="1:10" s="10" customFormat="1" hidden="1">
      <c r="A374" s="2">
        <v>2537844</v>
      </c>
      <c r="B374" s="2">
        <v>27</v>
      </c>
      <c r="C374" s="8">
        <v>2500000</v>
      </c>
      <c r="D374" s="8">
        <v>1401369.8049999999</v>
      </c>
      <c r="E374" s="8">
        <v>168164.37659999999</v>
      </c>
      <c r="F374" s="8">
        <v>4069534.1815999998</v>
      </c>
      <c r="G374" s="7">
        <v>46200</v>
      </c>
      <c r="H374" s="1" t="s">
        <v>29</v>
      </c>
      <c r="I374" s="1" t="str">
        <f>IF(G374&lt;=$K$1,"Pagado","Pendiente")</f>
        <v>Pendiente</v>
      </c>
    </row>
    <row r="375" spans="1:10" hidden="1">
      <c r="A375" s="2">
        <v>2537844</v>
      </c>
      <c r="B375" s="2">
        <v>28</v>
      </c>
      <c r="C375" s="8">
        <v>2500000</v>
      </c>
      <c r="D375" s="8">
        <v>1337671.1775</v>
      </c>
      <c r="E375" s="8">
        <v>160520.54129999998</v>
      </c>
      <c r="F375" s="8">
        <v>3998191.7188000004</v>
      </c>
      <c r="G375" s="7">
        <v>46230</v>
      </c>
      <c r="H375" s="1" t="s">
        <v>29</v>
      </c>
      <c r="I375" s="1" t="str">
        <f>IF(G375&lt;=$K$1,"Pagado","Pendiente")</f>
        <v>Pendiente</v>
      </c>
    </row>
    <row r="376" spans="1:10" hidden="1">
      <c r="A376" s="2">
        <v>2537844</v>
      </c>
      <c r="B376" s="2">
        <v>29</v>
      </c>
      <c r="C376" s="8">
        <v>2500000</v>
      </c>
      <c r="D376" s="8">
        <v>1273972.55</v>
      </c>
      <c r="E376" s="8">
        <v>152876.70600000001</v>
      </c>
      <c r="F376" s="8">
        <v>3926849.2560000001</v>
      </c>
      <c r="G376" s="7">
        <v>46261</v>
      </c>
      <c r="H376" s="1" t="s">
        <v>29</v>
      </c>
      <c r="I376" s="1" t="str">
        <f>IF(G376&lt;=$K$1,"Pagado","Pendiente")</f>
        <v>Pendiente</v>
      </c>
    </row>
    <row r="377" spans="1:10" hidden="1">
      <c r="A377" s="2">
        <v>885417400</v>
      </c>
      <c r="B377" s="2">
        <v>18</v>
      </c>
      <c r="C377" s="8">
        <v>27777777.777777776</v>
      </c>
      <c r="D377" s="8">
        <v>849074.07407406904</v>
      </c>
      <c r="E377" s="8">
        <v>101888.88888888828</v>
      </c>
      <c r="F377" s="8">
        <v>28728740.740740735</v>
      </c>
      <c r="G377" s="7">
        <v>46290</v>
      </c>
      <c r="H377" s="1" t="s">
        <v>24</v>
      </c>
      <c r="I377" s="1" t="str">
        <f>IF(G377&lt;=$K$1,"Pagado","Pendiente")</f>
        <v>Pendiente</v>
      </c>
    </row>
    <row r="378" spans="1:10" hidden="1">
      <c r="A378" s="2">
        <v>394949</v>
      </c>
      <c r="B378" s="2">
        <v>21</v>
      </c>
      <c r="C378" s="8">
        <v>1147604.17</v>
      </c>
      <c r="D378" s="8">
        <v>3758713.12</v>
      </c>
      <c r="E378" s="8">
        <v>451045.56</v>
      </c>
      <c r="F378" s="8">
        <v>5357362.8499999996</v>
      </c>
      <c r="G378" s="7">
        <v>46291</v>
      </c>
      <c r="H378" s="1" t="s">
        <v>30</v>
      </c>
      <c r="I378" s="1" t="str">
        <f>IF(G378&lt;=$K$1,"Pagado","Pendiente")</f>
        <v>Pendiente</v>
      </c>
    </row>
    <row r="379" spans="1:10" hidden="1">
      <c r="A379" s="2">
        <v>347916</v>
      </c>
      <c r="B379" s="2">
        <v>27</v>
      </c>
      <c r="C379" s="8">
        <v>3037440.2470297934</v>
      </c>
      <c r="D379" s="8">
        <v>5415743.5212296331</v>
      </c>
      <c r="E379" s="8">
        <v>649889.22254755592</v>
      </c>
      <c r="F379" s="8">
        <v>9103072.9908069819</v>
      </c>
      <c r="G379" s="7">
        <v>46292</v>
      </c>
      <c r="H379" s="1" t="s">
        <v>30</v>
      </c>
      <c r="I379" s="1" t="str">
        <f>IF(G379&lt;=$K$1,"Pagado","Pendiente")</f>
        <v>Pendiente</v>
      </c>
    </row>
    <row r="380" spans="1:10" hidden="1">
      <c r="A380" s="2">
        <v>2537844</v>
      </c>
      <c r="B380" s="2">
        <v>30</v>
      </c>
      <c r="C380" s="8">
        <v>2500000</v>
      </c>
      <c r="D380" s="8">
        <v>1210273.9225000001</v>
      </c>
      <c r="E380" s="8">
        <v>145232.8707</v>
      </c>
      <c r="F380" s="8">
        <v>3855506.7932000002</v>
      </c>
      <c r="G380" s="7">
        <v>46292</v>
      </c>
      <c r="H380" s="1" t="s">
        <v>29</v>
      </c>
      <c r="I380" s="1" t="str">
        <f>IF(G380&lt;=$K$1,"Pagado","Pendiente")</f>
        <v>Pendiente</v>
      </c>
    </row>
    <row r="381" spans="1:10" hidden="1">
      <c r="A381" s="2">
        <v>843950300</v>
      </c>
      <c r="B381" s="2">
        <v>13</v>
      </c>
      <c r="C381" s="8">
        <v>2070936.9</v>
      </c>
      <c r="D381" s="8">
        <v>5704432.5</v>
      </c>
      <c r="E381" s="8">
        <f>+F381-D381-C381</f>
        <v>684531.90000000084</v>
      </c>
      <c r="F381" s="8">
        <v>8459901.3000000007</v>
      </c>
      <c r="G381" s="7">
        <v>45957</v>
      </c>
      <c r="H381" s="1" t="s">
        <v>24</v>
      </c>
      <c r="I381" s="1" t="str">
        <f>IF(G381&lt;=$K$1,"Pagado","Pendiente")</f>
        <v>Pagado</v>
      </c>
    </row>
    <row r="382" spans="1:10" hidden="1">
      <c r="A382" s="2">
        <v>31295</v>
      </c>
      <c r="B382" s="2">
        <v>13</v>
      </c>
      <c r="C382" s="8">
        <v>1974285.53</v>
      </c>
      <c r="D382" s="8">
        <v>5285734.6900000004</v>
      </c>
      <c r="E382" s="8">
        <v>634288.16</v>
      </c>
      <c r="F382" s="8">
        <v>7894308.3799999999</v>
      </c>
      <c r="G382" s="7">
        <v>46049</v>
      </c>
      <c r="H382" s="1" t="s">
        <v>35</v>
      </c>
      <c r="I382" s="1" t="str">
        <f>IF(G382&lt;=$K$1,"Pagado","Pendiente")</f>
        <v>Pagado</v>
      </c>
    </row>
    <row r="383" spans="1:10" hidden="1">
      <c r="A383" s="2">
        <v>885417900</v>
      </c>
      <c r="B383" s="2">
        <v>18</v>
      </c>
      <c r="C383" s="8">
        <v>27777777.777777776</v>
      </c>
      <c r="D383" s="8">
        <v>849074.07407406904</v>
      </c>
      <c r="E383" s="8">
        <v>101888.88888888828</v>
      </c>
      <c r="F383" s="8">
        <v>28728740.740740735</v>
      </c>
      <c r="G383" s="7">
        <v>46293</v>
      </c>
      <c r="H383" s="1" t="s">
        <v>24</v>
      </c>
      <c r="I383" s="1" t="str">
        <f>IF(G383&lt;=$K$1,"Pagado","Pendiente")</f>
        <v>Pendiente</v>
      </c>
    </row>
    <row r="384" spans="1:10" hidden="1">
      <c r="A384" s="2">
        <v>20466</v>
      </c>
      <c r="B384" s="2">
        <v>49</v>
      </c>
      <c r="C384" s="8">
        <v>670093.33579712291</v>
      </c>
      <c r="D384" s="8">
        <v>692068.44798966288</v>
      </c>
      <c r="E384" s="8">
        <f>+D384*0.12</f>
        <v>83048.213758759535</v>
      </c>
      <c r="F384" s="8">
        <f>+C384+D384+E384</f>
        <v>1445209.9975455452</v>
      </c>
      <c r="G384" s="7">
        <v>46295</v>
      </c>
      <c r="H384" s="1" t="s">
        <v>31</v>
      </c>
      <c r="I384" s="1" t="str">
        <f>IF(G384&lt;=$K$1,"Pagado","Pendiente")</f>
        <v>Pendiente</v>
      </c>
    </row>
    <row r="385" spans="1:9" hidden="1">
      <c r="A385" s="2">
        <v>66235635</v>
      </c>
      <c r="B385" s="2">
        <v>14</v>
      </c>
      <c r="C385" s="8">
        <v>7916666.6699999999</v>
      </c>
      <c r="D385" s="8">
        <v>7390696.3499999996</v>
      </c>
      <c r="E385" s="8">
        <v>886883.5700000003</v>
      </c>
      <c r="F385" s="8">
        <v>16194246.59</v>
      </c>
      <c r="G385" s="7">
        <v>45902</v>
      </c>
      <c r="H385" s="1" t="s">
        <v>26</v>
      </c>
      <c r="I385" s="1" t="str">
        <f>IF(G385&lt;=$K$1,"Pagado","Pendiente")</f>
        <v>Pagado</v>
      </c>
    </row>
    <row r="386" spans="1:9" hidden="1">
      <c r="A386" s="2">
        <v>22044</v>
      </c>
      <c r="B386" s="2">
        <v>38</v>
      </c>
      <c r="C386" s="8">
        <v>970906.67903930647</v>
      </c>
      <c r="D386" s="8">
        <v>1761091.1718079415</v>
      </c>
      <c r="E386" s="8">
        <v>211330.94061695298</v>
      </c>
      <c r="F386" s="8">
        <v>2943328.7914642012</v>
      </c>
      <c r="G386" s="7">
        <v>46297</v>
      </c>
      <c r="H386" s="1" t="s">
        <v>31</v>
      </c>
      <c r="I386" s="1" t="str">
        <f>IF(G386&lt;=$K$1,"Pagado","Pendiente")</f>
        <v>Pendiente</v>
      </c>
    </row>
    <row r="387" spans="1:9" hidden="1">
      <c r="A387" s="2">
        <v>119980</v>
      </c>
      <c r="B387" s="2">
        <v>22</v>
      </c>
      <c r="C387" s="8">
        <v>14166666.67</v>
      </c>
      <c r="D387" s="8">
        <v>15015890.41</v>
      </c>
      <c r="E387" s="8">
        <f>+F387-D387-C387</f>
        <v>1801906.8499999996</v>
      </c>
      <c r="F387" s="8">
        <v>30984463.93</v>
      </c>
      <c r="G387" s="7">
        <v>46269</v>
      </c>
      <c r="H387" s="1" t="s">
        <v>26</v>
      </c>
      <c r="I387" s="1" t="str">
        <f>IF(G387&lt;=$K$1,"Pagado","Pendiente")</f>
        <v>Pendiente</v>
      </c>
    </row>
    <row r="388" spans="1:9" hidden="1">
      <c r="A388" s="2">
        <v>23700</v>
      </c>
      <c r="B388" s="2">
        <v>20</v>
      </c>
      <c r="C388" s="8">
        <v>13873627.77</v>
      </c>
      <c r="D388" s="8">
        <v>8748269.4600000009</v>
      </c>
      <c r="E388" s="8">
        <v>1049792.33</v>
      </c>
      <c r="F388" s="8">
        <v>23671689.560000002</v>
      </c>
      <c r="G388" s="7">
        <v>46302</v>
      </c>
      <c r="H388" s="1" t="s">
        <v>31</v>
      </c>
      <c r="I388" s="1" t="str">
        <f>IF(G388&lt;=$K$1,"Pagado","Pendiente")</f>
        <v>Pendiente</v>
      </c>
    </row>
    <row r="389" spans="1:9" hidden="1">
      <c r="A389" s="2">
        <v>20828</v>
      </c>
      <c r="B389" s="2">
        <v>46</v>
      </c>
      <c r="C389" s="8">
        <v>803015.96106190688</v>
      </c>
      <c r="D389" s="8">
        <v>980714.56454226596</v>
      </c>
      <c r="E389" s="8">
        <f>+D389*0.105</f>
        <v>102975.02927693792</v>
      </c>
      <c r="F389" s="8">
        <f>+C389+D389+E389</f>
        <v>1886705.5548811108</v>
      </c>
      <c r="G389" s="7">
        <v>46307</v>
      </c>
      <c r="H389" s="1" t="s">
        <v>31</v>
      </c>
      <c r="I389" s="1" t="str">
        <f>IF(G389&lt;=$K$1,"Pagado","Pendiente")</f>
        <v>Pendiente</v>
      </c>
    </row>
    <row r="390" spans="1:9" hidden="1">
      <c r="A390" s="2">
        <v>23996</v>
      </c>
      <c r="B390" s="2">
        <v>15</v>
      </c>
      <c r="C390" s="8">
        <v>1213436.54</v>
      </c>
      <c r="D390" s="8">
        <v>9343365.3900000006</v>
      </c>
      <c r="E390" s="8">
        <v>1122138.19</v>
      </c>
      <c r="F390" s="8">
        <f>+C390+D390+E390</f>
        <v>11678940.119999999</v>
      </c>
      <c r="G390" s="7">
        <v>46308</v>
      </c>
      <c r="H390" s="1" t="s">
        <v>31</v>
      </c>
      <c r="I390" s="1" t="str">
        <f>IF(G390&lt;=$K$1,"Pagado","Pendiente")</f>
        <v>Pendiente</v>
      </c>
    </row>
    <row r="391" spans="1:9" hidden="1">
      <c r="A391" s="2">
        <v>927328</v>
      </c>
      <c r="B391" s="2">
        <v>24</v>
      </c>
      <c r="C391" s="8">
        <v>5650770.0888597891</v>
      </c>
      <c r="D391" s="8">
        <v>8396249.5546061322</v>
      </c>
      <c r="E391" s="8">
        <v>1007549.9465527359</v>
      </c>
      <c r="F391" s="8">
        <v>15054569.590018658</v>
      </c>
      <c r="G391" s="7">
        <v>46312</v>
      </c>
      <c r="H391" s="1" t="s">
        <v>32</v>
      </c>
      <c r="I391" s="1" t="str">
        <f>IF(G391&lt;=$K$1,"Pagado","Pendiente")</f>
        <v>Pendiente</v>
      </c>
    </row>
    <row r="392" spans="1:9" hidden="1">
      <c r="A392" s="2">
        <v>75472831</v>
      </c>
      <c r="B392" s="2">
        <v>15</v>
      </c>
      <c r="C392" s="8">
        <v>2083333.33</v>
      </c>
      <c r="D392" s="8">
        <v>2772602.74</v>
      </c>
      <c r="E392" s="8">
        <f>+F392-D392-C392</f>
        <v>332712.33000000007</v>
      </c>
      <c r="F392" s="8">
        <v>5188648.4000000004</v>
      </c>
      <c r="G392" s="7">
        <v>46041</v>
      </c>
      <c r="H392" s="1" t="s">
        <v>26</v>
      </c>
      <c r="I392" s="1" t="str">
        <f>IF(G392&lt;=$K$1,"Pagado","Pendiente")</f>
        <v>Pagado</v>
      </c>
    </row>
    <row r="393" spans="1:9" hidden="1">
      <c r="A393" s="2">
        <v>863502400</v>
      </c>
      <c r="B393" s="2">
        <v>14</v>
      </c>
      <c r="C393" s="8">
        <v>2733290.48</v>
      </c>
      <c r="D393" s="8">
        <v>7288296.75</v>
      </c>
      <c r="E393" s="8">
        <v>874595.61</v>
      </c>
      <c r="F393" s="8">
        <v>10896182.84</v>
      </c>
      <c r="G393" s="7">
        <v>46070</v>
      </c>
      <c r="H393" s="1" t="s">
        <v>24</v>
      </c>
      <c r="I393" s="1" t="str">
        <f>IF(G393&lt;=$K$1,"Pagado","Pendiente")</f>
        <v>Pagado</v>
      </c>
    </row>
    <row r="394" spans="1:9" hidden="1">
      <c r="A394" s="2">
        <v>863502600</v>
      </c>
      <c r="B394" s="2">
        <v>22</v>
      </c>
      <c r="C394" s="8">
        <v>1762536.33</v>
      </c>
      <c r="D394" s="8">
        <v>3421043.27</v>
      </c>
      <c r="E394" s="8">
        <v>410525.19</v>
      </c>
      <c r="F394" s="8">
        <v>5594104.79</v>
      </c>
      <c r="G394" s="7">
        <v>46312</v>
      </c>
      <c r="H394" s="1" t="s">
        <v>24</v>
      </c>
      <c r="I394" s="1" t="str">
        <f>IF(G394&lt;=$K$1,"Pagado","Pendiente")</f>
        <v>Pendiente</v>
      </c>
    </row>
    <row r="395" spans="1:9" hidden="1">
      <c r="A395" s="2">
        <v>23790</v>
      </c>
      <c r="B395" s="2">
        <v>19</v>
      </c>
      <c r="C395" s="8">
        <v>13463132.671778308</v>
      </c>
      <c r="D395" s="8">
        <v>9332101.4228870515</v>
      </c>
      <c r="E395" s="8">
        <v>1119852.1707464461</v>
      </c>
      <c r="F395" s="8">
        <v>23915086.265411805</v>
      </c>
      <c r="G395" s="7">
        <v>46312</v>
      </c>
      <c r="H395" s="1" t="s">
        <v>31</v>
      </c>
      <c r="I395" s="1" t="str">
        <f>IF(G395&lt;=$K$1,"Pagado","Pendiente")</f>
        <v>Pendiente</v>
      </c>
    </row>
    <row r="396" spans="1:9" hidden="1">
      <c r="A396" s="2">
        <v>24004</v>
      </c>
      <c r="B396" s="2">
        <v>15</v>
      </c>
      <c r="C396" s="8">
        <v>1262930.68</v>
      </c>
      <c r="D396" s="8">
        <v>4511578.8899999997</v>
      </c>
      <c r="E396" s="8">
        <v>541840.62</v>
      </c>
      <c r="F396" s="8">
        <v>6316350.1900000004</v>
      </c>
      <c r="G396" s="7">
        <v>46312</v>
      </c>
      <c r="H396" s="1" t="s">
        <v>31</v>
      </c>
      <c r="I396" s="1" t="str">
        <f>IF(G396&lt;=$K$1,"Pagado","Pendiente")</f>
        <v>Pendiente</v>
      </c>
    </row>
    <row r="397" spans="1:9" hidden="1">
      <c r="A397" s="2">
        <v>65210751</v>
      </c>
      <c r="B397" s="2">
        <v>14</v>
      </c>
      <c r="C397" s="8">
        <v>8958333.3300000001</v>
      </c>
      <c r="D397" s="8">
        <v>8939925.8000000007</v>
      </c>
      <c r="E397" s="8">
        <v>1072791.0999999996</v>
      </c>
      <c r="F397" s="8">
        <v>18971050.23</v>
      </c>
      <c r="G397" s="7">
        <v>45887</v>
      </c>
      <c r="H397" s="1" t="s">
        <v>26</v>
      </c>
      <c r="I397" s="1" t="str">
        <f>IF(G397&lt;=$K$1,"Pagado","Pendiente")</f>
        <v>Pagado</v>
      </c>
    </row>
    <row r="398" spans="1:9" hidden="1">
      <c r="A398" s="2">
        <v>23430</v>
      </c>
      <c r="B398" s="2">
        <v>27</v>
      </c>
      <c r="C398" s="8">
        <v>702984.97</v>
      </c>
      <c r="D398" s="8">
        <v>3886439.28</v>
      </c>
      <c r="E398" s="8">
        <v>466372.71</v>
      </c>
      <c r="F398" s="8">
        <v>5055796.96</v>
      </c>
      <c r="G398" s="7">
        <v>46314</v>
      </c>
      <c r="H398" s="1" t="s">
        <v>31</v>
      </c>
      <c r="I398" s="1" t="str">
        <f>IF(G398&lt;=$K$1,"Pagado","Pendiente")</f>
        <v>Pendiente</v>
      </c>
    </row>
    <row r="399" spans="1:9" hidden="1">
      <c r="A399" s="2">
        <v>23467</v>
      </c>
      <c r="B399" s="2">
        <v>26</v>
      </c>
      <c r="C399" s="8">
        <v>2636193.65</v>
      </c>
      <c r="D399" s="8">
        <v>14574147.310000001</v>
      </c>
      <c r="E399" s="8">
        <v>1748897.68</v>
      </c>
      <c r="F399" s="8">
        <v>18959238.640000001</v>
      </c>
      <c r="G399" s="7">
        <v>46314</v>
      </c>
      <c r="H399" s="1" t="s">
        <v>31</v>
      </c>
      <c r="I399" s="1" t="str">
        <f>IF(G399&lt;=$K$1,"Pagado","Pendiente")</f>
        <v>Pendiente</v>
      </c>
    </row>
    <row r="400" spans="1:9" hidden="1">
      <c r="A400" s="2">
        <v>394949</v>
      </c>
      <c r="B400" s="2">
        <v>22</v>
      </c>
      <c r="C400" s="8">
        <v>1180119.6200000001</v>
      </c>
      <c r="D400" s="8">
        <v>3726197.67</v>
      </c>
      <c r="E400" s="8">
        <v>447143.71</v>
      </c>
      <c r="F400" s="8">
        <v>5353461</v>
      </c>
      <c r="G400" s="7">
        <v>46321</v>
      </c>
      <c r="H400" s="1" t="s">
        <v>30</v>
      </c>
      <c r="I400" s="1" t="str">
        <f>IF(G400&lt;=$K$1,"Pagado","Pendiente")</f>
        <v>Pendiente</v>
      </c>
    </row>
    <row r="401" spans="1:9" hidden="1">
      <c r="A401" s="2">
        <v>347916</v>
      </c>
      <c r="B401" s="2">
        <v>28</v>
      </c>
      <c r="C401" s="8">
        <v>3105782.6525879633</v>
      </c>
      <c r="D401" s="8">
        <v>5347401.1156714633</v>
      </c>
      <c r="E401" s="8">
        <v>641688.13388057565</v>
      </c>
      <c r="F401" s="8">
        <v>9094871.9021400027</v>
      </c>
      <c r="G401" s="7">
        <v>46322</v>
      </c>
      <c r="H401" s="1" t="s">
        <v>30</v>
      </c>
      <c r="I401" s="1" t="str">
        <f>IF(G401&lt;=$K$1,"Pagado","Pendiente")</f>
        <v>Pendiente</v>
      </c>
    </row>
    <row r="402" spans="1:9" hidden="1">
      <c r="A402" s="2">
        <v>2537844</v>
      </c>
      <c r="B402" s="2">
        <v>31</v>
      </c>
      <c r="C402" s="8">
        <v>2500000</v>
      </c>
      <c r="D402" s="8">
        <v>1146575.2949999999</v>
      </c>
      <c r="E402" s="8">
        <v>137589.03539999999</v>
      </c>
      <c r="F402" s="8">
        <v>3784164.3303999999</v>
      </c>
      <c r="G402" s="7">
        <v>46322</v>
      </c>
      <c r="H402" s="1" t="s">
        <v>29</v>
      </c>
      <c r="I402" s="1" t="str">
        <f>IF(G402&lt;=$K$1,"Pagado","Pendiente")</f>
        <v>Pendiente</v>
      </c>
    </row>
    <row r="403" spans="1:9" hidden="1">
      <c r="A403" s="9">
        <v>843950300</v>
      </c>
      <c r="B403" s="9">
        <v>14</v>
      </c>
      <c r="C403" s="13">
        <v>2128809.23</v>
      </c>
      <c r="D403" s="13">
        <v>5646560.1699999999</v>
      </c>
      <c r="E403" s="13">
        <f>+F403-D403-C403</f>
        <v>677587.21999999927</v>
      </c>
      <c r="F403" s="13">
        <v>8452956.6199999992</v>
      </c>
      <c r="G403" s="11">
        <v>45988</v>
      </c>
      <c r="H403" s="10" t="s">
        <v>24</v>
      </c>
      <c r="I403" s="1" t="str">
        <f>IF(G403&lt;=$K$1,"Pagado","Pendiente")</f>
        <v>Pagado</v>
      </c>
    </row>
    <row r="404" spans="1:9" hidden="1">
      <c r="A404" s="2">
        <v>31295</v>
      </c>
      <c r="B404" s="2">
        <v>14</v>
      </c>
      <c r="C404" s="8">
        <v>2028578.39</v>
      </c>
      <c r="D404" s="8">
        <v>5231441.83</v>
      </c>
      <c r="E404" s="8">
        <v>627773.02</v>
      </c>
      <c r="F404" s="8">
        <v>7887793.2400000002</v>
      </c>
      <c r="G404" s="7">
        <v>46080</v>
      </c>
      <c r="H404" s="1" t="s">
        <v>35</v>
      </c>
      <c r="I404" s="1" t="str">
        <f>IF(G404&lt;=$K$1,"Pagado","Pendiente")</f>
        <v>Pagado</v>
      </c>
    </row>
    <row r="405" spans="1:9" hidden="1">
      <c r="A405" s="2">
        <v>20466</v>
      </c>
      <c r="B405" s="2">
        <v>50</v>
      </c>
      <c r="C405" s="8">
        <v>690196.13587103668</v>
      </c>
      <c r="D405" s="8">
        <v>671965.64791574911</v>
      </c>
      <c r="E405" s="8">
        <f>+D405*0.12</f>
        <v>80635.877749889885</v>
      </c>
      <c r="F405" s="8">
        <f>+C405+D405+E405</f>
        <v>1442797.6615366756</v>
      </c>
      <c r="G405" s="7">
        <v>46326</v>
      </c>
      <c r="H405" s="1" t="s">
        <v>31</v>
      </c>
      <c r="I405" s="1" t="str">
        <f>IF(G405&lt;=$K$1,"Pagado","Pendiente")</f>
        <v>Pendiente</v>
      </c>
    </row>
    <row r="406" spans="1:9" hidden="1">
      <c r="A406" s="9">
        <v>66235635</v>
      </c>
      <c r="B406" s="9">
        <v>15</v>
      </c>
      <c r="C406" s="13">
        <v>7916666.6699999999</v>
      </c>
      <c r="D406" s="13">
        <v>7482876.71</v>
      </c>
      <c r="E406" s="13">
        <v>897945.20000000112</v>
      </c>
      <c r="F406" s="13">
        <v>16297488.58</v>
      </c>
      <c r="G406" s="11">
        <v>45932</v>
      </c>
      <c r="H406" s="10" t="s">
        <v>26</v>
      </c>
      <c r="I406" s="1" t="str">
        <f>IF(G406&lt;=$K$1,"Pagado","Pendiente")</f>
        <v>Pagado</v>
      </c>
    </row>
    <row r="407" spans="1:9" hidden="1">
      <c r="A407" s="2">
        <v>22044</v>
      </c>
      <c r="B407" s="2">
        <v>39</v>
      </c>
      <c r="C407" s="8">
        <v>1000033.8794104857</v>
      </c>
      <c r="D407" s="8">
        <v>1731963.9714367623</v>
      </c>
      <c r="E407" s="8">
        <v>207835.67657241147</v>
      </c>
      <c r="F407" s="8">
        <v>2939833.5274196593</v>
      </c>
      <c r="G407" s="7">
        <v>46328</v>
      </c>
      <c r="H407" s="1" t="s">
        <v>31</v>
      </c>
      <c r="I407" s="1" t="str">
        <f>IF(G407&lt;=$K$1,"Pagado","Pendiente")</f>
        <v>Pendiente</v>
      </c>
    </row>
    <row r="408" spans="1:9" s="1" customFormat="1" hidden="1">
      <c r="A408" s="9">
        <v>22901462</v>
      </c>
      <c r="B408" s="9">
        <v>1</v>
      </c>
      <c r="C408" s="13">
        <v>397235.5</v>
      </c>
      <c r="D408" s="13">
        <v>452913.77</v>
      </c>
      <c r="E408" s="13">
        <v>54349.659999999996</v>
      </c>
      <c r="F408" s="13">
        <v>904498.92999999993</v>
      </c>
      <c r="G408" s="11">
        <v>44593</v>
      </c>
      <c r="H408" s="10" t="s">
        <v>26</v>
      </c>
      <c r="I408" s="1" t="str">
        <f>IF(G408&lt;=$K$1,"Pagado","Pendiente")</f>
        <v>Pagado</v>
      </c>
    </row>
    <row r="409" spans="1:9" s="1" customFormat="1" hidden="1">
      <c r="A409" s="9">
        <v>22901462</v>
      </c>
      <c r="B409" s="9">
        <v>2</v>
      </c>
      <c r="C409" s="13">
        <v>397235.5</v>
      </c>
      <c r="D409" s="13">
        <v>362627.04</v>
      </c>
      <c r="E409" s="13">
        <v>43515.25</v>
      </c>
      <c r="F409" s="13">
        <v>803377.79</v>
      </c>
      <c r="G409" s="11">
        <v>44621</v>
      </c>
      <c r="H409" s="10" t="s">
        <v>26</v>
      </c>
      <c r="I409" s="1" t="str">
        <f>IF(G409&lt;=$K$1,"Pagado","Pendiente")</f>
        <v>Pagado</v>
      </c>
    </row>
    <row r="410" spans="1:9" s="1" customFormat="1" hidden="1">
      <c r="A410" s="9">
        <v>22901462</v>
      </c>
      <c r="B410" s="9">
        <v>3</v>
      </c>
      <c r="C410" s="13">
        <v>397235.5</v>
      </c>
      <c r="D410" s="13">
        <v>390009.08</v>
      </c>
      <c r="E410" s="13">
        <v>46801.09</v>
      </c>
      <c r="F410" s="13">
        <v>834045.67</v>
      </c>
      <c r="G410" s="11">
        <v>44652</v>
      </c>
      <c r="H410" s="10" t="s">
        <v>26</v>
      </c>
      <c r="I410" s="1" t="str">
        <f>IF(G410&lt;=$K$1,"Pagado","Pendiente")</f>
        <v>Pagado</v>
      </c>
    </row>
    <row r="411" spans="1:9" s="1" customFormat="1" hidden="1">
      <c r="A411" s="9">
        <v>22901462</v>
      </c>
      <c r="B411" s="9">
        <v>4</v>
      </c>
      <c r="C411" s="13">
        <v>397235.5</v>
      </c>
      <c r="D411" s="13">
        <v>378538.22</v>
      </c>
      <c r="E411" s="13">
        <v>45424.58</v>
      </c>
      <c r="F411" s="13">
        <v>821198.3</v>
      </c>
      <c r="G411" s="11">
        <v>44682</v>
      </c>
      <c r="H411" s="10" t="s">
        <v>26</v>
      </c>
      <c r="I411" s="1" t="str">
        <f>IF(G411&lt;=$K$1,"Pagado","Pendiente")</f>
        <v>Pagado</v>
      </c>
    </row>
    <row r="412" spans="1:9" s="1" customFormat="1" hidden="1">
      <c r="A412" s="9">
        <v>22901462</v>
      </c>
      <c r="B412" s="9">
        <v>5</v>
      </c>
      <c r="C412" s="13">
        <v>397235.5</v>
      </c>
      <c r="D412" s="13">
        <v>355226.49</v>
      </c>
      <c r="E412" s="13">
        <v>42627.18</v>
      </c>
      <c r="F412" s="13">
        <v>795089.16999999993</v>
      </c>
      <c r="G412" s="11">
        <v>44713</v>
      </c>
      <c r="H412" s="10" t="s">
        <v>26</v>
      </c>
      <c r="I412" s="1" t="str">
        <f>IF(G412&lt;=$K$1,"Pagado","Pendiente")</f>
        <v>Pagado</v>
      </c>
    </row>
    <row r="413" spans="1:9" s="1" customFormat="1" hidden="1">
      <c r="A413" s="9">
        <v>22901462</v>
      </c>
      <c r="B413" s="9">
        <v>6</v>
      </c>
      <c r="C413" s="13">
        <v>397235.5</v>
      </c>
      <c r="D413" s="13">
        <v>344125.66</v>
      </c>
      <c r="E413" s="13">
        <v>41295.07</v>
      </c>
      <c r="F413" s="13">
        <v>782656.23</v>
      </c>
      <c r="G413" s="11">
        <v>44743</v>
      </c>
      <c r="H413" s="10" t="s">
        <v>26</v>
      </c>
      <c r="I413" s="1" t="str">
        <f>IF(G413&lt;=$K$1,"Pagado","Pendiente")</f>
        <v>Pagado</v>
      </c>
    </row>
    <row r="414" spans="1:9" s="1" customFormat="1" hidden="1">
      <c r="A414" s="9">
        <v>22901462</v>
      </c>
      <c r="B414" s="9">
        <v>7</v>
      </c>
      <c r="C414" s="13">
        <v>397235.5</v>
      </c>
      <c r="D414" s="13">
        <v>344125.66</v>
      </c>
      <c r="E414" s="13">
        <v>41295.07</v>
      </c>
      <c r="F414" s="13">
        <v>782656.23</v>
      </c>
      <c r="G414" s="11">
        <v>44774</v>
      </c>
      <c r="H414" s="10" t="s">
        <v>26</v>
      </c>
      <c r="I414" s="1" t="str">
        <f>IF(G414&lt;=$K$1,"Pagado","Pendiente")</f>
        <v>Pagado</v>
      </c>
    </row>
    <row r="415" spans="1:9" s="1" customFormat="1" hidden="1">
      <c r="A415" s="9">
        <v>22901462</v>
      </c>
      <c r="B415" s="9">
        <v>8</v>
      </c>
      <c r="C415" s="13">
        <v>397235.5</v>
      </c>
      <c r="D415" s="13">
        <v>332654.8</v>
      </c>
      <c r="E415" s="13">
        <v>39918.57</v>
      </c>
      <c r="F415" s="13">
        <v>769808.87</v>
      </c>
      <c r="G415" s="11">
        <v>44805</v>
      </c>
      <c r="H415" s="10" t="s">
        <v>26</v>
      </c>
      <c r="I415" s="1" t="str">
        <f>IF(G415&lt;=$K$1,"Pagado","Pendiente")</f>
        <v>Pagado</v>
      </c>
    </row>
    <row r="416" spans="1:9" s="1" customFormat="1" hidden="1">
      <c r="A416" s="9">
        <v>22901462</v>
      </c>
      <c r="B416" s="9">
        <v>9</v>
      </c>
      <c r="C416" s="13">
        <v>397235.5</v>
      </c>
      <c r="D416" s="13">
        <v>331544.71999999997</v>
      </c>
      <c r="E416" s="13">
        <v>39785.369999999995</v>
      </c>
      <c r="F416" s="13">
        <v>768565.59</v>
      </c>
      <c r="G416" s="11">
        <v>44835</v>
      </c>
      <c r="H416" s="10" t="s">
        <v>26</v>
      </c>
      <c r="I416" s="1" t="str">
        <f>IF(G416&lt;=$K$1,"Pagado","Pendiente")</f>
        <v>Pagado</v>
      </c>
    </row>
    <row r="417" spans="1:9" s="1" customFormat="1" hidden="1">
      <c r="A417" s="9">
        <v>22901462</v>
      </c>
      <c r="B417" s="9">
        <v>10</v>
      </c>
      <c r="C417" s="13">
        <v>397235.5</v>
      </c>
      <c r="D417" s="13">
        <v>289731.59999999998</v>
      </c>
      <c r="E417" s="13">
        <v>34767.79</v>
      </c>
      <c r="F417" s="13">
        <v>721734.8899999999</v>
      </c>
      <c r="G417" s="11">
        <v>44866</v>
      </c>
      <c r="H417" s="10" t="s">
        <v>26</v>
      </c>
      <c r="I417" s="1" t="str">
        <f>IF(G417&lt;=$K$1,"Pagado","Pendiente")</f>
        <v>Pagado</v>
      </c>
    </row>
    <row r="418" spans="1:9" s="1" customFormat="1" hidden="1">
      <c r="A418" s="9">
        <v>22901462</v>
      </c>
      <c r="B418" s="9">
        <v>11</v>
      </c>
      <c r="C418" s="13">
        <v>397235.5</v>
      </c>
      <c r="D418" s="13">
        <v>288621.52</v>
      </c>
      <c r="E418" s="13">
        <v>34634.58</v>
      </c>
      <c r="F418" s="13">
        <v>720491.60000000009</v>
      </c>
      <c r="G418" s="11">
        <v>44896</v>
      </c>
      <c r="H418" s="10" t="s">
        <v>26</v>
      </c>
      <c r="I418" s="1" t="str">
        <f>IF(G418&lt;=$K$1,"Pagado","Pendiente")</f>
        <v>Pagado</v>
      </c>
    </row>
    <row r="419" spans="1:9" s="1" customFormat="1" hidden="1">
      <c r="A419" s="9">
        <v>22901462</v>
      </c>
      <c r="B419" s="9">
        <v>12</v>
      </c>
      <c r="C419" s="13">
        <v>397235.5</v>
      </c>
      <c r="D419" s="13">
        <v>296022.07</v>
      </c>
      <c r="E419" s="13">
        <v>35522.65</v>
      </c>
      <c r="F419" s="13">
        <v>728780.22</v>
      </c>
      <c r="G419" s="11">
        <v>44927</v>
      </c>
      <c r="H419" s="10" t="s">
        <v>26</v>
      </c>
      <c r="I419" s="1" t="str">
        <f>IF(G419&lt;=$K$1,"Pagado","Pendiente")</f>
        <v>Pagado</v>
      </c>
    </row>
    <row r="420" spans="1:9" s="1" customFormat="1" hidden="1">
      <c r="A420" s="9">
        <v>22901462</v>
      </c>
      <c r="B420" s="9">
        <v>13</v>
      </c>
      <c r="C420" s="13">
        <v>397235.5</v>
      </c>
      <c r="D420" s="13">
        <v>266419.86</v>
      </c>
      <c r="E420" s="13">
        <v>31970.39</v>
      </c>
      <c r="F420" s="13">
        <v>695625.75</v>
      </c>
      <c r="G420" s="11">
        <v>44958</v>
      </c>
      <c r="H420" s="10" t="s">
        <v>26</v>
      </c>
      <c r="I420" s="1" t="str">
        <f>IF(G420&lt;=$K$1,"Pagado","Pendiente")</f>
        <v>Pagado</v>
      </c>
    </row>
    <row r="421" spans="1:9" s="1" customFormat="1" hidden="1">
      <c r="A421" s="9">
        <v>22901462</v>
      </c>
      <c r="B421" s="9">
        <v>14</v>
      </c>
      <c r="C421" s="13">
        <v>397235.5</v>
      </c>
      <c r="D421" s="13">
        <v>238297.77</v>
      </c>
      <c r="E421" s="13">
        <v>28595.74</v>
      </c>
      <c r="F421" s="13">
        <v>664129.01</v>
      </c>
      <c r="G421" s="11">
        <v>44986</v>
      </c>
      <c r="H421" s="10" t="s">
        <v>26</v>
      </c>
      <c r="I421" s="1" t="str">
        <f>IF(G421&lt;=$K$1,"Pagado","Pendiente")</f>
        <v>Pagado</v>
      </c>
    </row>
    <row r="422" spans="1:9" s="1" customFormat="1" hidden="1">
      <c r="A422" s="9">
        <v>22901462</v>
      </c>
      <c r="B422" s="9">
        <v>15</v>
      </c>
      <c r="C422" s="13">
        <v>397235.5</v>
      </c>
      <c r="D422" s="13">
        <v>268640.03000000003</v>
      </c>
      <c r="E422" s="13">
        <v>32236.799999999999</v>
      </c>
      <c r="F422" s="13">
        <v>698112.33000000007</v>
      </c>
      <c r="G422" s="11">
        <v>45017</v>
      </c>
      <c r="H422" s="10" t="s">
        <v>26</v>
      </c>
      <c r="I422" s="1" t="str">
        <f>IF(G422&lt;=$K$1,"Pagado","Pendiente")</f>
        <v>Pagado</v>
      </c>
    </row>
    <row r="423" spans="1:9" s="1" customFormat="1" hidden="1">
      <c r="A423" s="9">
        <v>22901462</v>
      </c>
      <c r="B423" s="9">
        <v>16</v>
      </c>
      <c r="C423" s="13">
        <v>397235.5</v>
      </c>
      <c r="D423" s="13">
        <v>225346.8</v>
      </c>
      <c r="E423" s="13">
        <v>27041.61</v>
      </c>
      <c r="F423" s="13">
        <v>649623.90999999992</v>
      </c>
      <c r="G423" s="11">
        <v>45047</v>
      </c>
      <c r="H423" s="10" t="s">
        <v>26</v>
      </c>
      <c r="I423" s="1" t="str">
        <f>IF(G423&lt;=$K$1,"Pagado","Pendiente")</f>
        <v>Pagado</v>
      </c>
    </row>
    <row r="424" spans="1:9" s="1" customFormat="1" hidden="1">
      <c r="A424" s="9">
        <v>22901462</v>
      </c>
      <c r="B424" s="9">
        <v>17</v>
      </c>
      <c r="C424" s="13">
        <v>397235.5</v>
      </c>
      <c r="D424" s="13">
        <v>222016.55</v>
      </c>
      <c r="E424" s="13">
        <v>26641.99</v>
      </c>
      <c r="F424" s="13">
        <v>645894.04</v>
      </c>
      <c r="G424" s="11">
        <v>45078</v>
      </c>
      <c r="H424" s="10" t="s">
        <v>26</v>
      </c>
      <c r="I424" s="1" t="str">
        <f>IF(G424&lt;=$K$1,"Pagado","Pendiente")</f>
        <v>Pagado</v>
      </c>
    </row>
    <row r="425" spans="1:9" s="1" customFormat="1" hidden="1">
      <c r="A425" s="9">
        <v>22901462</v>
      </c>
      <c r="B425" s="9">
        <v>18</v>
      </c>
      <c r="C425" s="13">
        <v>397235.5</v>
      </c>
      <c r="D425" s="13">
        <v>224976.77</v>
      </c>
      <c r="E425" s="13">
        <v>26997.210000000003</v>
      </c>
      <c r="F425" s="13">
        <v>649209.48</v>
      </c>
      <c r="G425" s="11">
        <v>45108</v>
      </c>
      <c r="H425" s="10" t="s">
        <v>26</v>
      </c>
      <c r="I425" s="1" t="str">
        <f>IF(G425&lt;=$K$1,"Pagado","Pendiente")</f>
        <v>Pagado</v>
      </c>
    </row>
    <row r="426" spans="1:9" s="1" customFormat="1" hidden="1">
      <c r="A426" s="9">
        <v>22901462</v>
      </c>
      <c r="B426" s="9">
        <v>19</v>
      </c>
      <c r="C426" s="13">
        <v>397235.5</v>
      </c>
      <c r="D426" s="13">
        <v>193154.4</v>
      </c>
      <c r="E426" s="13">
        <v>23178.53</v>
      </c>
      <c r="F426" s="13">
        <v>613568.42999999993</v>
      </c>
      <c r="G426" s="11">
        <v>45139</v>
      </c>
      <c r="H426" s="10" t="s">
        <v>26</v>
      </c>
      <c r="I426" s="1" t="str">
        <f>IF(G426&lt;=$K$1,"Pagado","Pendiente")</f>
        <v>Pagado</v>
      </c>
    </row>
    <row r="427" spans="1:9" s="1" customFormat="1" hidden="1">
      <c r="A427" s="9">
        <v>22901462</v>
      </c>
      <c r="B427" s="9">
        <v>20</v>
      </c>
      <c r="C427" s="13">
        <v>397235.5</v>
      </c>
      <c r="D427" s="13">
        <v>195004.54</v>
      </c>
      <c r="E427" s="13">
        <v>23400.55</v>
      </c>
      <c r="F427" s="13">
        <v>615640.59</v>
      </c>
      <c r="G427" s="11">
        <v>45170</v>
      </c>
      <c r="H427" s="10" t="s">
        <v>26</v>
      </c>
      <c r="I427" s="1" t="str">
        <f>IF(G427&lt;=$K$1,"Pagado","Pendiente")</f>
        <v>Pagado</v>
      </c>
    </row>
    <row r="428" spans="1:9" s="1" customFormat="1" hidden="1">
      <c r="A428" s="9">
        <v>22901462</v>
      </c>
      <c r="B428" s="9">
        <v>21</v>
      </c>
      <c r="C428" s="13">
        <v>397235.5</v>
      </c>
      <c r="D428" s="13">
        <v>183533.68</v>
      </c>
      <c r="E428" s="13">
        <v>22024.050000000003</v>
      </c>
      <c r="F428" s="13">
        <v>602793.23</v>
      </c>
      <c r="G428" s="11">
        <v>45200</v>
      </c>
      <c r="H428" s="10" t="s">
        <v>26</v>
      </c>
      <c r="I428" s="1" t="str">
        <f>IF(G428&lt;=$K$1,"Pagado","Pendiente")</f>
        <v>Pagado</v>
      </c>
    </row>
    <row r="429" spans="1:9" s="1" customFormat="1" hidden="1">
      <c r="A429" s="9">
        <v>22901462</v>
      </c>
      <c r="B429" s="9">
        <v>22</v>
      </c>
      <c r="C429" s="13">
        <v>397235.5</v>
      </c>
      <c r="D429" s="13">
        <v>166512.42000000001</v>
      </c>
      <c r="E429" s="13">
        <v>19981.489999999998</v>
      </c>
      <c r="F429" s="13">
        <v>583729.41</v>
      </c>
      <c r="G429" s="11">
        <v>45231</v>
      </c>
      <c r="H429" s="10" t="s">
        <v>26</v>
      </c>
      <c r="I429" s="1" t="str">
        <f>IF(G429&lt;=$K$1,"Pagado","Pendiente")</f>
        <v>Pagado</v>
      </c>
    </row>
    <row r="430" spans="1:9" s="1" customFormat="1" hidden="1">
      <c r="A430" s="9">
        <v>22901462</v>
      </c>
      <c r="B430" s="9">
        <v>23</v>
      </c>
      <c r="C430" s="13">
        <v>397235.5</v>
      </c>
      <c r="D430" s="13">
        <v>155411.59</v>
      </c>
      <c r="E430" s="13">
        <v>18649.39</v>
      </c>
      <c r="F430" s="13">
        <v>571296.48</v>
      </c>
      <c r="G430" s="11">
        <v>45261</v>
      </c>
      <c r="H430" s="10" t="s">
        <v>26</v>
      </c>
      <c r="I430" s="1" t="str">
        <f>IF(G430&lt;=$K$1,"Pagado","Pendiente")</f>
        <v>Pagado</v>
      </c>
    </row>
    <row r="431" spans="1:9" s="1" customFormat="1" hidden="1">
      <c r="A431" s="9">
        <v>22901462</v>
      </c>
      <c r="B431" s="9">
        <v>24</v>
      </c>
      <c r="C431" s="13">
        <v>397235.5</v>
      </c>
      <c r="D431" s="13">
        <v>153931.48000000001</v>
      </c>
      <c r="E431" s="13">
        <v>18471.78</v>
      </c>
      <c r="F431" s="13">
        <v>569638.76</v>
      </c>
      <c r="G431" s="11">
        <v>45292</v>
      </c>
      <c r="H431" s="10" t="s">
        <v>26</v>
      </c>
      <c r="I431" s="1" t="str">
        <f>IF(G431&lt;=$K$1,"Pagado","Pendiente")</f>
        <v>Pagado</v>
      </c>
    </row>
    <row r="432" spans="1:9" s="1" customFormat="1" hidden="1">
      <c r="A432" s="9">
        <v>22901462</v>
      </c>
      <c r="B432" s="9">
        <v>25</v>
      </c>
      <c r="C432" s="13">
        <v>397235.5</v>
      </c>
      <c r="D432" s="13">
        <v>133209.93</v>
      </c>
      <c r="E432" s="13">
        <v>15985.19</v>
      </c>
      <c r="F432" s="13">
        <v>546430.62</v>
      </c>
      <c r="G432" s="11">
        <v>45323</v>
      </c>
      <c r="H432" s="10" t="s">
        <v>26</v>
      </c>
      <c r="I432" s="1" t="str">
        <f>IF(G432&lt;=$K$1,"Pagado","Pendiente")</f>
        <v>Pagado</v>
      </c>
    </row>
    <row r="433" spans="1:10" s="1" customFormat="1" hidden="1">
      <c r="A433" s="9">
        <v>22901462</v>
      </c>
      <c r="B433" s="9">
        <v>26</v>
      </c>
      <c r="C433" s="13">
        <v>397235.5</v>
      </c>
      <c r="D433" s="13">
        <v>118038.8</v>
      </c>
      <c r="E433" s="13">
        <v>14164.65</v>
      </c>
      <c r="F433" s="13">
        <v>529438.94999999995</v>
      </c>
      <c r="G433" s="11">
        <v>45352</v>
      </c>
      <c r="H433" s="10" t="s">
        <v>26</v>
      </c>
      <c r="I433" s="1" t="str">
        <f>IF(G433&lt;=$K$1,"Pagado","Pendiente")</f>
        <v>Pagado</v>
      </c>
    </row>
    <row r="434" spans="1:10" s="1" customFormat="1" hidden="1">
      <c r="A434" s="9">
        <v>22901462</v>
      </c>
      <c r="B434" s="9">
        <v>27</v>
      </c>
      <c r="C434" s="13">
        <v>397235.5</v>
      </c>
      <c r="D434" s="13">
        <v>114708.55</v>
      </c>
      <c r="E434" s="13">
        <v>13765.029999999999</v>
      </c>
      <c r="F434" s="13">
        <v>525709.07999999996</v>
      </c>
      <c r="G434" s="11">
        <v>45383</v>
      </c>
      <c r="H434" s="10" t="s">
        <v>26</v>
      </c>
      <c r="I434" s="1" t="str">
        <f>IF(G434&lt;=$K$1,"Pagado","Pendiente")</f>
        <v>Pagado</v>
      </c>
    </row>
    <row r="435" spans="1:10" s="1" customFormat="1" hidden="1">
      <c r="A435" s="9">
        <v>22901462</v>
      </c>
      <c r="B435" s="9">
        <v>28</v>
      </c>
      <c r="C435" s="13">
        <v>397235.5</v>
      </c>
      <c r="D435" s="13">
        <v>103237.7</v>
      </c>
      <c r="E435" s="13">
        <v>12388.529999999999</v>
      </c>
      <c r="F435" s="13">
        <v>512861.73</v>
      </c>
      <c r="G435" s="11">
        <v>45413</v>
      </c>
      <c r="H435" s="10" t="s">
        <v>26</v>
      </c>
      <c r="I435" s="1" t="str">
        <f>IF(G435&lt;=$K$1,"Pagado","Pendiente")</f>
        <v>Pagado</v>
      </c>
    </row>
    <row r="436" spans="1:10" s="1" customFormat="1" hidden="1">
      <c r="A436" s="9">
        <v>22901462</v>
      </c>
      <c r="B436" s="9">
        <v>29</v>
      </c>
      <c r="C436" s="13">
        <v>397235.5</v>
      </c>
      <c r="D436" s="13">
        <v>94727.06</v>
      </c>
      <c r="E436" s="13">
        <v>11367.25</v>
      </c>
      <c r="F436" s="13">
        <v>503329.81</v>
      </c>
      <c r="G436" s="11">
        <v>45444</v>
      </c>
      <c r="H436" s="10" t="s">
        <v>26</v>
      </c>
      <c r="I436" s="1" t="str">
        <f>IF(G436&lt;=$K$1,"Pagado","Pendiente")</f>
        <v>Pagado</v>
      </c>
    </row>
    <row r="437" spans="1:10" s="1" customFormat="1" hidden="1">
      <c r="A437" s="9">
        <v>22901462</v>
      </c>
      <c r="B437" s="9">
        <v>30</v>
      </c>
      <c r="C437" s="13">
        <v>397235.5</v>
      </c>
      <c r="D437" s="13">
        <v>72525.41</v>
      </c>
      <c r="E437" s="13">
        <v>8703.0499999999993</v>
      </c>
      <c r="F437" s="13">
        <v>478463.96</v>
      </c>
      <c r="G437" s="11">
        <v>45474</v>
      </c>
      <c r="H437" s="10" t="s">
        <v>26</v>
      </c>
      <c r="I437" s="1" t="str">
        <f>IF(G437&lt;=$K$1,"Pagado","Pendiente")</f>
        <v>Pagado</v>
      </c>
    </row>
    <row r="438" spans="1:10" s="1" customFormat="1" hidden="1">
      <c r="A438" s="9">
        <v>22901462</v>
      </c>
      <c r="B438" s="9">
        <v>31</v>
      </c>
      <c r="C438" s="13">
        <v>397235.5</v>
      </c>
      <c r="D438" s="13">
        <v>68825.13</v>
      </c>
      <c r="E438" s="13">
        <v>8259.02</v>
      </c>
      <c r="F438" s="13">
        <v>474319.65</v>
      </c>
      <c r="G438" s="11">
        <v>45505</v>
      </c>
      <c r="H438" s="10" t="s">
        <v>26</v>
      </c>
      <c r="I438" s="1" t="str">
        <f>IF(G438&lt;=$K$1,"Pagado","Pendiente")</f>
        <v>Pagado</v>
      </c>
    </row>
    <row r="439" spans="1:10" s="1" customFormat="1" hidden="1">
      <c r="A439" s="9">
        <v>22901462</v>
      </c>
      <c r="B439" s="9">
        <v>32</v>
      </c>
      <c r="C439" s="13">
        <v>397235.5</v>
      </c>
      <c r="D439" s="13">
        <v>59204.41</v>
      </c>
      <c r="E439" s="13">
        <v>7104.53</v>
      </c>
      <c r="F439" s="13">
        <v>463544.44</v>
      </c>
      <c r="G439" s="11">
        <v>45536</v>
      </c>
      <c r="H439" s="10" t="s">
        <v>26</v>
      </c>
      <c r="I439" s="1" t="str">
        <f>IF(G439&lt;=$K$1,"Pagado","Pendiente")</f>
        <v>Pagado</v>
      </c>
    </row>
    <row r="440" spans="1:10" s="1" customFormat="1" hidden="1">
      <c r="A440" s="9">
        <v>22901462</v>
      </c>
      <c r="B440" s="9">
        <v>33</v>
      </c>
      <c r="C440" s="13">
        <v>397235.5</v>
      </c>
      <c r="D440" s="13">
        <v>42923.199999999997</v>
      </c>
      <c r="E440" s="13">
        <v>5150.79</v>
      </c>
      <c r="F440" s="13">
        <v>445309.49</v>
      </c>
      <c r="G440" s="11">
        <v>45566</v>
      </c>
      <c r="H440" s="10" t="s">
        <v>26</v>
      </c>
      <c r="I440" s="1" t="str">
        <f>IF(G440&lt;=$K$1,"Pagado","Pendiente")</f>
        <v>Pagado</v>
      </c>
    </row>
    <row r="441" spans="1:10" hidden="1">
      <c r="A441" s="9">
        <v>22901462</v>
      </c>
      <c r="B441" s="9">
        <v>34</v>
      </c>
      <c r="C441" s="13">
        <v>397235.5</v>
      </c>
      <c r="D441" s="13">
        <v>34412.57</v>
      </c>
      <c r="E441" s="13">
        <v>4129.51</v>
      </c>
      <c r="F441" s="13">
        <v>435777.58</v>
      </c>
      <c r="G441" s="11">
        <v>45597</v>
      </c>
      <c r="H441" s="10" t="s">
        <v>26</v>
      </c>
      <c r="I441" s="1" t="str">
        <f>IF(G441&lt;=$K$1,"Pagado","Pendiente")</f>
        <v>Pagado</v>
      </c>
    </row>
    <row r="442" spans="1:10" s="10" customFormat="1" hidden="1">
      <c r="A442" s="9">
        <v>22901462</v>
      </c>
      <c r="B442" s="9">
        <v>35</v>
      </c>
      <c r="C442" s="13">
        <v>397235.5</v>
      </c>
      <c r="D442" s="13">
        <v>22941.71</v>
      </c>
      <c r="E442" s="13">
        <v>2753.01</v>
      </c>
      <c r="F442" s="13">
        <v>422930.22</v>
      </c>
      <c r="G442" s="11">
        <v>45627</v>
      </c>
      <c r="H442" s="10" t="s">
        <v>26</v>
      </c>
      <c r="I442" s="1" t="str">
        <f>IF(G442&lt;=$K$1,"Pagado","Pendiente")</f>
        <v>Pagado</v>
      </c>
    </row>
    <row r="443" spans="1:10" s="9" customFormat="1" hidden="1">
      <c r="A443" s="9">
        <v>22901462</v>
      </c>
      <c r="B443" s="9">
        <v>36</v>
      </c>
      <c r="C443" s="13">
        <v>397235.5</v>
      </c>
      <c r="D443" s="13">
        <v>11470.86</v>
      </c>
      <c r="E443" s="13">
        <v>1376.5</v>
      </c>
      <c r="F443" s="13">
        <v>410082.86</v>
      </c>
      <c r="G443" s="11">
        <v>45658</v>
      </c>
      <c r="H443" s="9" t="s">
        <v>26</v>
      </c>
      <c r="I443" s="1" t="str">
        <f>IF(G443&lt;=$K$1,"Pagado","Pendiente")</f>
        <v>Pagado</v>
      </c>
    </row>
    <row r="444" spans="1:10" s="1" customFormat="1" hidden="1">
      <c r="A444" s="9">
        <v>25912222</v>
      </c>
      <c r="B444" s="9">
        <v>1</v>
      </c>
      <c r="C444" s="13">
        <v>8333333.333333333</v>
      </c>
      <c r="D444" s="13">
        <v>5414383.5599999996</v>
      </c>
      <c r="E444" s="13">
        <v>649726.02000000048</v>
      </c>
      <c r="F444" s="13">
        <v>14397442.949999999</v>
      </c>
      <c r="G444" s="11">
        <v>45428</v>
      </c>
      <c r="H444" s="10" t="s">
        <v>27</v>
      </c>
      <c r="I444" s="1" t="str">
        <f>IF(G444&lt;=$K$1,"Pagado","Pendiente")</f>
        <v>Pagado</v>
      </c>
      <c r="J444" s="1" t="s">
        <v>129</v>
      </c>
    </row>
    <row r="445" spans="1:10" s="1" customFormat="1" hidden="1">
      <c r="A445" s="9">
        <v>25912222</v>
      </c>
      <c r="B445" s="9">
        <v>2</v>
      </c>
      <c r="C445" s="13">
        <v>8333333.333333333</v>
      </c>
      <c r="D445" s="13">
        <v>5459503.4199999999</v>
      </c>
      <c r="E445" s="13">
        <v>655140.41000000015</v>
      </c>
      <c r="F445" s="13">
        <v>14447977.16</v>
      </c>
      <c r="G445" s="11">
        <v>45459</v>
      </c>
      <c r="H445" s="10" t="s">
        <v>27</v>
      </c>
      <c r="I445" s="1" t="str">
        <f>IF(G445&lt;=$K$1,"Pagado","Pendiente")</f>
        <v>Pagado</v>
      </c>
      <c r="J445" s="1" t="s">
        <v>129</v>
      </c>
    </row>
    <row r="446" spans="1:10" s="1" customFormat="1" hidden="1">
      <c r="A446" s="9">
        <v>25912222</v>
      </c>
      <c r="B446" s="9">
        <v>3</v>
      </c>
      <c r="C446" s="13">
        <v>8333333.333333333</v>
      </c>
      <c r="D446" s="13">
        <v>4060787.67</v>
      </c>
      <c r="E446" s="13">
        <v>487294.52999999933</v>
      </c>
      <c r="F446" s="13">
        <v>12881415.529999999</v>
      </c>
      <c r="G446" s="11">
        <v>45489</v>
      </c>
      <c r="H446" s="10" t="s">
        <v>27</v>
      </c>
      <c r="I446" s="1" t="str">
        <f>IF(G446&lt;=$K$1,"Pagado","Pendiente")</f>
        <v>Pagado</v>
      </c>
      <c r="J446" s="1" t="s">
        <v>129</v>
      </c>
    </row>
    <row r="447" spans="1:10" s="1" customFormat="1" hidden="1">
      <c r="A447" s="9">
        <v>25912222</v>
      </c>
      <c r="B447" s="9">
        <v>4</v>
      </c>
      <c r="C447" s="13">
        <v>8333333.333333333</v>
      </c>
      <c r="D447" s="13">
        <v>4060787.67</v>
      </c>
      <c r="E447" s="13">
        <v>-1920513.7100000009</v>
      </c>
      <c r="F447" s="13">
        <v>10473607.289999999</v>
      </c>
      <c r="G447" s="11">
        <v>45520</v>
      </c>
      <c r="H447" s="10" t="s">
        <v>27</v>
      </c>
      <c r="I447" s="1" t="str">
        <f>IF(G447&lt;=$K$1,"Pagado","Pendiente")</f>
        <v>Pagado</v>
      </c>
      <c r="J447" s="1" t="s">
        <v>129</v>
      </c>
    </row>
    <row r="448" spans="1:10" s="1" customFormat="1" hidden="1">
      <c r="A448" s="9">
        <v>25912222</v>
      </c>
      <c r="B448" s="9">
        <v>5</v>
      </c>
      <c r="C448" s="13">
        <v>8333333.333333333</v>
      </c>
      <c r="D448" s="13">
        <v>3609589.04</v>
      </c>
      <c r="E448" s="13">
        <v>433150.68999999948</v>
      </c>
      <c r="F448" s="13">
        <v>12376073.060000001</v>
      </c>
      <c r="G448" s="11">
        <v>45551</v>
      </c>
      <c r="H448" s="10" t="s">
        <v>27</v>
      </c>
      <c r="I448" s="1" t="str">
        <f>IF(G448&lt;=$K$1,"Pagado","Pendiente")</f>
        <v>Pagado</v>
      </c>
      <c r="J448" s="1" t="s">
        <v>129</v>
      </c>
    </row>
    <row r="449" spans="1:10" s="1" customFormat="1" hidden="1">
      <c r="A449" s="9">
        <v>25912222</v>
      </c>
      <c r="B449" s="9">
        <v>6</v>
      </c>
      <c r="C449" s="13">
        <v>8333333.333333333</v>
      </c>
      <c r="D449" s="13">
        <v>3263670.09</v>
      </c>
      <c r="E449" s="13">
        <v>391640.41000000015</v>
      </c>
      <c r="F449" s="13">
        <v>11988643.83</v>
      </c>
      <c r="G449" s="11">
        <v>45581</v>
      </c>
      <c r="H449" s="10" t="s">
        <v>27</v>
      </c>
      <c r="I449" s="1" t="str">
        <f>IF(G449&lt;=$K$1,"Pagado","Pendiente")</f>
        <v>Pagado</v>
      </c>
      <c r="J449" s="1" t="s">
        <v>129</v>
      </c>
    </row>
    <row r="450" spans="1:10" s="10" customFormat="1" hidden="1">
      <c r="A450" s="9">
        <v>25912222</v>
      </c>
      <c r="B450" s="9">
        <v>7</v>
      </c>
      <c r="C450" s="13">
        <v>8333333.333333333</v>
      </c>
      <c r="D450" s="13">
        <v>2616952.0499999998</v>
      </c>
      <c r="E450" s="13">
        <v>315034.25000000186</v>
      </c>
      <c r="F450" s="13">
        <v>11265319.630000001</v>
      </c>
      <c r="G450" s="11">
        <v>45612</v>
      </c>
      <c r="H450" s="10" t="s">
        <v>27</v>
      </c>
      <c r="I450" s="1" t="str">
        <f>IF(G450&lt;=$K$1,"Pagado","Pendiente")</f>
        <v>Pagado</v>
      </c>
      <c r="J450" s="1" t="s">
        <v>129</v>
      </c>
    </row>
    <row r="451" spans="1:10" s="10" customFormat="1" hidden="1">
      <c r="A451" s="9">
        <v>25912222</v>
      </c>
      <c r="B451" s="9">
        <v>8</v>
      </c>
      <c r="C451" s="13">
        <v>8333333.333333333</v>
      </c>
      <c r="D451" s="13">
        <v>2255993.15</v>
      </c>
      <c r="E451" s="13">
        <v>270719.1799999997</v>
      </c>
      <c r="F451" s="13">
        <v>10860045.66</v>
      </c>
      <c r="G451" s="11">
        <v>45642</v>
      </c>
      <c r="H451" s="10" t="s">
        <v>27</v>
      </c>
      <c r="I451" s="1" t="str">
        <f>IF(G451&lt;=$K$1,"Pagado","Pendiente")</f>
        <v>Pagado</v>
      </c>
      <c r="J451" s="1" t="s">
        <v>129</v>
      </c>
    </row>
    <row r="452" spans="1:10" s="10" customFormat="1" hidden="1">
      <c r="A452" s="9">
        <v>25912222</v>
      </c>
      <c r="B452" s="9">
        <v>9</v>
      </c>
      <c r="C452" s="13">
        <v>8333333.333333333</v>
      </c>
      <c r="D452" s="13">
        <v>887671.22916666628</v>
      </c>
      <c r="E452" s="13">
        <v>106520.54749999994</v>
      </c>
      <c r="F452" s="13">
        <v>9327525.1099999994</v>
      </c>
      <c r="G452" s="11">
        <v>45673</v>
      </c>
      <c r="H452" s="10" t="s">
        <v>27</v>
      </c>
      <c r="I452" s="1" t="str">
        <f>IF(G452&lt;=$K$1,"Pagado","Pendiente")</f>
        <v>Pagado</v>
      </c>
      <c r="J452" s="1" t="s">
        <v>129</v>
      </c>
    </row>
    <row r="453" spans="1:10" s="10" customFormat="1" hidden="1">
      <c r="A453" s="9">
        <v>25912222</v>
      </c>
      <c r="B453" s="9">
        <v>10</v>
      </c>
      <c r="C453" s="13">
        <v>8333333.333333333</v>
      </c>
      <c r="D453" s="13">
        <v>532191.78273809864</v>
      </c>
      <c r="E453" s="13">
        <v>63863.013928571832</v>
      </c>
      <c r="F453" s="13">
        <f>+C453+D453+E453</f>
        <v>8929388.1300000027</v>
      </c>
      <c r="G453" s="11">
        <v>45704</v>
      </c>
      <c r="H453" s="10" t="s">
        <v>27</v>
      </c>
      <c r="I453" s="1" t="str">
        <f>IF(G453&lt;=$K$1,"Pagado","Pendiente")</f>
        <v>Pagado</v>
      </c>
      <c r="J453" s="1" t="s">
        <v>129</v>
      </c>
    </row>
    <row r="454" spans="1:10" s="10" customFormat="1" hidden="1">
      <c r="A454" s="9">
        <v>25912222</v>
      </c>
      <c r="B454" s="9">
        <v>11</v>
      </c>
      <c r="C454" s="13">
        <v>8333333.333333333</v>
      </c>
      <c r="D454" s="13">
        <v>321917.80952381168</v>
      </c>
      <c r="E454" s="13">
        <f>+D454*0.12</f>
        <v>38630.137142857398</v>
      </c>
      <c r="F454" s="13">
        <f>+C454+D454+E454</f>
        <v>8693881.2800000031</v>
      </c>
      <c r="G454" s="11">
        <v>45732</v>
      </c>
      <c r="H454" s="10" t="s">
        <v>27</v>
      </c>
      <c r="I454" s="1" t="str">
        <f>IF(G454&lt;=$K$1,"Pagado","Pendiente")</f>
        <v>Pagado</v>
      </c>
      <c r="J454" s="1" t="s">
        <v>129</v>
      </c>
    </row>
    <row r="455" spans="1:10" s="10" customFormat="1" hidden="1">
      <c r="A455" s="9">
        <v>25912222</v>
      </c>
      <c r="B455" s="9">
        <v>12</v>
      </c>
      <c r="C455" s="13">
        <v>8333333.333333333</v>
      </c>
      <c r="D455" s="13">
        <v>451198.63</v>
      </c>
      <c r="E455" s="13">
        <v>54143.840000000782</v>
      </c>
      <c r="F455" s="13">
        <v>8838675.8000000007</v>
      </c>
      <c r="G455" s="11">
        <v>45763</v>
      </c>
      <c r="H455" s="10" t="s">
        <v>27</v>
      </c>
      <c r="I455" s="1" t="str">
        <f>IF(G455&lt;=$K$1,"Pagado","Pendiente")</f>
        <v>Pagado</v>
      </c>
      <c r="J455" s="1" t="s">
        <v>129</v>
      </c>
    </row>
    <row r="456" spans="1:10" s="1" customFormat="1" hidden="1">
      <c r="A456" s="9">
        <v>27520596</v>
      </c>
      <c r="B456" s="9">
        <v>1</v>
      </c>
      <c r="C456" s="13">
        <v>19166666.666666668</v>
      </c>
      <c r="D456" s="13">
        <v>5762602.7400000002</v>
      </c>
      <c r="E456" s="13">
        <v>691512.33000000194</v>
      </c>
      <c r="F456" s="13">
        <v>25620781.809999999</v>
      </c>
      <c r="G456" s="11">
        <v>45502</v>
      </c>
      <c r="H456" s="10" t="s">
        <v>27</v>
      </c>
      <c r="I456" s="1" t="str">
        <f>IF(G456&lt;=$K$1,"Pagado","Pendiente")</f>
        <v>Pagado</v>
      </c>
      <c r="J456" s="1" t="s">
        <v>129</v>
      </c>
    </row>
    <row r="457" spans="1:10" s="1" customFormat="1" hidden="1">
      <c r="A457" s="9">
        <v>27520596</v>
      </c>
      <c r="B457" s="9">
        <v>2</v>
      </c>
      <c r="C457" s="13">
        <v>19166666.666666668</v>
      </c>
      <c r="D457" s="13">
        <v>5111986.3</v>
      </c>
      <c r="E457" s="13">
        <v>426157.52999999747</v>
      </c>
      <c r="F457" s="13">
        <v>24704810.489999998</v>
      </c>
      <c r="G457" s="11">
        <v>45533</v>
      </c>
      <c r="H457" s="10" t="s">
        <v>27</v>
      </c>
      <c r="I457" s="1" t="str">
        <f>IF(G457&lt;=$K$1,"Pagado","Pendiente")</f>
        <v>Pagado</v>
      </c>
      <c r="J457" s="1" t="s">
        <v>129</v>
      </c>
    </row>
    <row r="458" spans="1:10" s="1" customFormat="1" hidden="1">
      <c r="A458" s="9">
        <v>27520596</v>
      </c>
      <c r="B458" s="9">
        <v>3</v>
      </c>
      <c r="C458" s="13">
        <v>19166666.666666668</v>
      </c>
      <c r="D458" s="13">
        <v>4647260.2699999996</v>
      </c>
      <c r="E458" s="13">
        <v>557671.23000000045</v>
      </c>
      <c r="F458" s="13">
        <v>24371598.16</v>
      </c>
      <c r="G458" s="11">
        <v>45564</v>
      </c>
      <c r="H458" s="10" t="s">
        <v>27</v>
      </c>
      <c r="I458" s="1" t="str">
        <f>IF(G458&lt;=$K$1,"Pagado","Pendiente")</f>
        <v>Pagado</v>
      </c>
      <c r="J458" s="1" t="s">
        <v>129</v>
      </c>
    </row>
    <row r="459" spans="1:10" s="1" customFormat="1" hidden="1">
      <c r="A459" s="9">
        <v>27520596</v>
      </c>
      <c r="B459" s="9">
        <v>4</v>
      </c>
      <c r="C459" s="13">
        <v>19166666.666666668</v>
      </c>
      <c r="D459" s="13">
        <v>4321952.05</v>
      </c>
      <c r="E459" s="13">
        <v>518634.25</v>
      </c>
      <c r="F459" s="13">
        <v>24007252.960000001</v>
      </c>
      <c r="G459" s="11">
        <v>45594</v>
      </c>
      <c r="H459" s="10" t="s">
        <v>27</v>
      </c>
      <c r="I459" s="1" t="str">
        <f>IF(G459&lt;=$K$1,"Pagado","Pendiente")</f>
        <v>Pagado</v>
      </c>
      <c r="J459" s="1" t="s">
        <v>129</v>
      </c>
    </row>
    <row r="460" spans="1:10" s="10" customFormat="1" hidden="1">
      <c r="A460" s="9">
        <v>27520596</v>
      </c>
      <c r="B460" s="9">
        <v>5</v>
      </c>
      <c r="C460" s="13">
        <v>19166666.666666668</v>
      </c>
      <c r="D460" s="13">
        <v>3593881.28</v>
      </c>
      <c r="E460" s="13">
        <v>431265.75</v>
      </c>
      <c r="F460" s="13">
        <v>23191813.690000001</v>
      </c>
      <c r="G460" s="11">
        <v>45625</v>
      </c>
      <c r="H460" s="10" t="s">
        <v>27</v>
      </c>
      <c r="I460" s="1" t="str">
        <f>IF(G460&lt;=$K$1,"Pagado","Pendiente")</f>
        <v>Pagado</v>
      </c>
      <c r="J460" s="1" t="s">
        <v>129</v>
      </c>
    </row>
    <row r="461" spans="1:10" s="10" customFormat="1" hidden="1">
      <c r="A461" s="9">
        <v>27520596</v>
      </c>
      <c r="B461" s="9">
        <v>6</v>
      </c>
      <c r="C461" s="13">
        <v>19166666.666666668</v>
      </c>
      <c r="D461" s="13">
        <v>3253082.19</v>
      </c>
      <c r="E461" s="13">
        <v>390369.8599999994</v>
      </c>
      <c r="F461" s="13">
        <v>22810118.710000001</v>
      </c>
      <c r="G461" s="11">
        <v>45655</v>
      </c>
      <c r="H461" s="10" t="s">
        <v>27</v>
      </c>
      <c r="I461" s="1" t="str">
        <f>IF(G461&lt;=$K$1,"Pagado","Pendiente")</f>
        <v>Pagado</v>
      </c>
      <c r="J461" s="1" t="s">
        <v>129</v>
      </c>
    </row>
    <row r="462" spans="1:10" s="10" customFormat="1" hidden="1">
      <c r="A462" s="9">
        <v>27520596</v>
      </c>
      <c r="B462" s="9">
        <v>7</v>
      </c>
      <c r="C462" s="13">
        <v>19166666.666666668</v>
      </c>
      <c r="D462" s="13">
        <v>2772602.7351190466</v>
      </c>
      <c r="E462" s="13">
        <v>332712.3282142856</v>
      </c>
      <c r="F462" s="13">
        <v>22271981.73</v>
      </c>
      <c r="G462" s="11">
        <v>45686</v>
      </c>
      <c r="H462" s="10" t="s">
        <v>27</v>
      </c>
      <c r="I462" s="1" t="str">
        <f>IF(G462&lt;=$K$1,"Pagado","Pendiente")</f>
        <v>Pagado</v>
      </c>
      <c r="J462" s="1" t="s">
        <v>129</v>
      </c>
    </row>
    <row r="463" spans="1:10" s="10" customFormat="1" hidden="1">
      <c r="A463" s="9">
        <v>27520596</v>
      </c>
      <c r="B463" s="9">
        <v>8</v>
      </c>
      <c r="C463" s="13">
        <v>19166666.666666668</v>
      </c>
      <c r="D463" s="13">
        <v>2168721.46</v>
      </c>
      <c r="E463" s="13">
        <v>260246.5700000003</v>
      </c>
      <c r="F463" s="13">
        <v>21595634.690000001</v>
      </c>
      <c r="G463" s="11">
        <v>45716</v>
      </c>
      <c r="H463" s="10" t="s">
        <v>27</v>
      </c>
      <c r="I463" s="1" t="str">
        <f>IF(G463&lt;=$K$1,"Pagado","Pendiente")</f>
        <v>Pagado</v>
      </c>
      <c r="J463" s="1" t="s">
        <v>129</v>
      </c>
    </row>
    <row r="464" spans="1:10" s="10" customFormat="1" hidden="1">
      <c r="A464" s="9">
        <v>27520596</v>
      </c>
      <c r="B464" s="9">
        <v>9</v>
      </c>
      <c r="C464" s="13">
        <v>19166666.666666668</v>
      </c>
      <c r="D464" s="13">
        <v>1476883.547619015</v>
      </c>
      <c r="E464" s="13">
        <f>+D464*0.12</f>
        <v>177226.0257142818</v>
      </c>
      <c r="F464" s="13">
        <f>+C464+D464+E464</f>
        <v>20820776.239999965</v>
      </c>
      <c r="G464" s="11">
        <v>45745</v>
      </c>
      <c r="H464" s="10" t="s">
        <v>27</v>
      </c>
      <c r="I464" s="1" t="str">
        <f>IF(G464&lt;=$K$1,"Pagado","Pendiente")</f>
        <v>Pagado</v>
      </c>
      <c r="J464" s="1" t="s">
        <v>129</v>
      </c>
    </row>
    <row r="465" spans="1:10" s="10" customFormat="1" hidden="1">
      <c r="A465" s="9">
        <v>27520596</v>
      </c>
      <c r="B465" s="9">
        <v>10</v>
      </c>
      <c r="C465" s="13">
        <v>19166666.666666668</v>
      </c>
      <c r="D465" s="13">
        <v>1394178.08</v>
      </c>
      <c r="E465" s="13">
        <v>167301.37000000104</v>
      </c>
      <c r="F465" s="13">
        <v>20728146.109999999</v>
      </c>
      <c r="G465" s="11">
        <v>45776</v>
      </c>
      <c r="H465" s="10" t="s">
        <v>27</v>
      </c>
      <c r="I465" s="1" t="str">
        <f>IF(G465&lt;=$K$1,"Pagado","Pendiente")</f>
        <v>Pagado</v>
      </c>
      <c r="J465" s="1" t="s">
        <v>129</v>
      </c>
    </row>
    <row r="466" spans="1:10" s="10" customFormat="1" hidden="1">
      <c r="A466" s="9">
        <v>27520596</v>
      </c>
      <c r="B466" s="9">
        <v>11</v>
      </c>
      <c r="C466" s="13">
        <v>19166666.666666668</v>
      </c>
      <c r="D466" s="13">
        <v>1049965.7440476185</v>
      </c>
      <c r="E466" s="13">
        <v>125995.88928571422</v>
      </c>
      <c r="F466" s="13">
        <v>20342628.300000001</v>
      </c>
      <c r="G466" s="11">
        <v>45806</v>
      </c>
      <c r="H466" s="10" t="s">
        <v>27</v>
      </c>
      <c r="I466" s="1" t="str">
        <f>IF(G466&lt;=$K$1,"Pagado","Pendiente")</f>
        <v>Pagado</v>
      </c>
      <c r="J466" s="1" t="s">
        <v>129</v>
      </c>
    </row>
    <row r="467" spans="1:10" hidden="1">
      <c r="A467" s="2">
        <v>27520596</v>
      </c>
      <c r="B467" s="2">
        <v>12</v>
      </c>
      <c r="C467" s="8">
        <v>19166666.666666668</v>
      </c>
      <c r="D467" s="8">
        <v>434958.6190475882</v>
      </c>
      <c r="E467" s="8">
        <f>+D467*0.12</f>
        <v>52195.034285710579</v>
      </c>
      <c r="F467" s="8">
        <f>+C467+D467+E467</f>
        <v>19653820.319999967</v>
      </c>
      <c r="G467" s="7">
        <v>45837</v>
      </c>
      <c r="H467" s="1" t="s">
        <v>27</v>
      </c>
      <c r="I467" s="1" t="str">
        <f>IF(G467&lt;=$K$1,"Pagado","Pendiente")</f>
        <v>Pagado</v>
      </c>
      <c r="J467" s="1" t="s">
        <v>129</v>
      </c>
    </row>
    <row r="468" spans="1:10" s="10" customFormat="1" hidden="1">
      <c r="A468" s="2">
        <v>65210751</v>
      </c>
      <c r="B468" s="2">
        <v>15</v>
      </c>
      <c r="C468" s="8">
        <v>8958333.3300000001</v>
      </c>
      <c r="D468" s="8">
        <v>8749714.6099999994</v>
      </c>
      <c r="E468" s="8">
        <v>1049965.7500000019</v>
      </c>
      <c r="F468" s="8">
        <v>18758013.690000001</v>
      </c>
      <c r="G468" s="7">
        <v>45918</v>
      </c>
      <c r="H468" s="1" t="s">
        <v>26</v>
      </c>
      <c r="I468" s="1" t="str">
        <f>IF(G468&lt;=$K$1,"Pagado","Pendiente")</f>
        <v>Pagado</v>
      </c>
    </row>
    <row r="469" spans="1:10" s="1" customFormat="1" hidden="1">
      <c r="A469" s="2">
        <v>65210751</v>
      </c>
      <c r="B469" s="2">
        <v>16</v>
      </c>
      <c r="C469" s="8">
        <v>8958333.3300000001</v>
      </c>
      <c r="D469" s="8">
        <v>8835616.4399999995</v>
      </c>
      <c r="E469" s="8">
        <v>1060273.9800000004</v>
      </c>
      <c r="F469" s="8">
        <v>18854223.75</v>
      </c>
      <c r="G469" s="7">
        <v>45948</v>
      </c>
      <c r="H469" s="1" t="s">
        <v>26</v>
      </c>
      <c r="I469" s="1" t="str">
        <f>IF(G469&lt;=$K$1,"Pagado","Pendiente")</f>
        <v>Pagado</v>
      </c>
    </row>
    <row r="470" spans="1:10" s="1" customFormat="1" hidden="1">
      <c r="A470" s="2">
        <v>65210751</v>
      </c>
      <c r="B470" s="2">
        <v>17</v>
      </c>
      <c r="C470" s="8">
        <v>8958333.3300000001</v>
      </c>
      <c r="D470" s="8">
        <v>7829337.9000000004</v>
      </c>
      <c r="E470" s="8">
        <v>939520.55000000075</v>
      </c>
      <c r="F470" s="8">
        <v>17727191.780000001</v>
      </c>
      <c r="G470" s="7">
        <v>45979</v>
      </c>
      <c r="H470" s="1" t="s">
        <v>26</v>
      </c>
      <c r="I470" s="1" t="str">
        <f>IF(G470&lt;=$K$1,"Pagado","Pendiente")</f>
        <v>Pagado</v>
      </c>
    </row>
    <row r="471" spans="1:10" s="1" customFormat="1" hidden="1">
      <c r="A471" s="2">
        <v>65210751</v>
      </c>
      <c r="B471" s="2">
        <v>18</v>
      </c>
      <c r="C471" s="8">
        <v>8958333.3300000001</v>
      </c>
      <c r="D471" s="8">
        <v>7915239.7300000004</v>
      </c>
      <c r="E471" s="8">
        <v>949828.76999999769</v>
      </c>
      <c r="F471" s="8">
        <v>17823401.829999998</v>
      </c>
      <c r="G471" s="7">
        <v>46009</v>
      </c>
      <c r="H471" s="1" t="s">
        <v>26</v>
      </c>
      <c r="I471" s="1" t="str">
        <f>IF(G471&lt;=$K$1,"Pagado","Pendiente")</f>
        <v>Pagado</v>
      </c>
    </row>
    <row r="472" spans="1:10" s="10" customFormat="1" hidden="1">
      <c r="A472" s="2">
        <v>65210751</v>
      </c>
      <c r="B472" s="2">
        <v>19</v>
      </c>
      <c r="C472" s="8">
        <v>8958333.3300000001</v>
      </c>
      <c r="D472" s="8">
        <v>8246575.3399999999</v>
      </c>
      <c r="E472" s="8">
        <v>989589.04000000097</v>
      </c>
      <c r="F472" s="8">
        <v>18194497.710000001</v>
      </c>
      <c r="G472" s="7">
        <v>46041</v>
      </c>
      <c r="H472" s="1" t="s">
        <v>26</v>
      </c>
      <c r="I472" s="1" t="str">
        <f>IF(G472&lt;=$K$1,"Pagado","Pendiente")</f>
        <v>Pagado</v>
      </c>
    </row>
    <row r="473" spans="1:10" s="10" customFormat="1" hidden="1">
      <c r="A473" s="2">
        <v>65210751</v>
      </c>
      <c r="B473" s="2">
        <v>20</v>
      </c>
      <c r="C473" s="8">
        <v>8958333.3300000001</v>
      </c>
      <c r="D473" s="8">
        <v>7547089.04</v>
      </c>
      <c r="E473" s="8">
        <v>905650.68999999948</v>
      </c>
      <c r="F473" s="8">
        <v>17411073.059999999</v>
      </c>
      <c r="G473" s="7">
        <v>46071</v>
      </c>
      <c r="H473" s="1" t="s">
        <v>26</v>
      </c>
      <c r="I473" s="1" t="str">
        <f>IF(G473&lt;=$K$1,"Pagado","Pendiente")</f>
        <v>Pagado</v>
      </c>
    </row>
    <row r="474" spans="1:10" s="10" customFormat="1" hidden="1">
      <c r="A474" s="2">
        <v>65210751</v>
      </c>
      <c r="B474" s="2">
        <v>21</v>
      </c>
      <c r="C474" s="8">
        <v>8958333.3300000001</v>
      </c>
      <c r="D474" s="8">
        <v>6872146.1200000001</v>
      </c>
      <c r="E474" s="8">
        <v>824657.52999999933</v>
      </c>
      <c r="F474" s="8">
        <v>16655136.98</v>
      </c>
      <c r="G474" s="7">
        <v>46099</v>
      </c>
      <c r="H474" s="1" t="s">
        <v>26</v>
      </c>
      <c r="I474" s="1" t="str">
        <f>IF(G474&lt;=$K$1,"Pagado","Pendiente")</f>
        <v>Pagado</v>
      </c>
    </row>
    <row r="475" spans="1:10" s="10" customFormat="1" hidden="1">
      <c r="A475" s="9">
        <v>65210751</v>
      </c>
      <c r="B475" s="9">
        <v>22</v>
      </c>
      <c r="C475" s="13">
        <v>8958333.3300000001</v>
      </c>
      <c r="D475" s="13">
        <v>7896832.1900000004</v>
      </c>
      <c r="E475" s="13">
        <v>947619.85999999754</v>
      </c>
      <c r="F475" s="13">
        <v>17802785.379999999</v>
      </c>
      <c r="G475" s="11">
        <v>46130</v>
      </c>
      <c r="H475" s="10" t="s">
        <v>26</v>
      </c>
      <c r="I475" s="1" t="str">
        <f>IF(G475&lt;=$K$1,"Pagado","Pendiente")</f>
        <v>Pagado</v>
      </c>
    </row>
    <row r="476" spans="1:10" s="10" customFormat="1">
      <c r="A476" s="2">
        <v>119980</v>
      </c>
      <c r="B476" s="2">
        <v>18</v>
      </c>
      <c r="C476" s="8">
        <v>14166666.67</v>
      </c>
      <c r="D476" s="8">
        <v>14953789.949999999</v>
      </c>
      <c r="E476" s="8">
        <f>+F476-D476-C476</f>
        <v>1794454.790000001</v>
      </c>
      <c r="F476" s="8">
        <v>30914911.41</v>
      </c>
      <c r="G476" s="7">
        <v>46146</v>
      </c>
      <c r="H476" s="1" t="s">
        <v>26</v>
      </c>
      <c r="I476" s="1" t="str">
        <f>IF(G476&lt;=$K$1,"Pagado","Pendiente")</f>
        <v>Pendiente</v>
      </c>
      <c r="J476" s="15"/>
    </row>
    <row r="477" spans="1:10" s="10" customFormat="1" hidden="1">
      <c r="A477" s="2">
        <v>65210751</v>
      </c>
      <c r="B477" s="2">
        <v>24</v>
      </c>
      <c r="C477" s="8">
        <v>8958333.3300000001</v>
      </c>
      <c r="D477" s="8">
        <v>7037813.9299999997</v>
      </c>
      <c r="E477" s="8">
        <v>844537.66999999993</v>
      </c>
      <c r="F477" s="8">
        <v>16840684.93</v>
      </c>
      <c r="G477" s="7">
        <v>46191</v>
      </c>
      <c r="H477" s="1" t="s">
        <v>26</v>
      </c>
      <c r="I477" s="1" t="str">
        <f>IF(G477&lt;=$K$1,"Pagado","Pendiente")</f>
        <v>Pendiente</v>
      </c>
    </row>
    <row r="478" spans="1:10" s="10" customFormat="1" hidden="1">
      <c r="A478" s="2">
        <v>65210751</v>
      </c>
      <c r="B478" s="2">
        <v>25</v>
      </c>
      <c r="C478" s="8">
        <v>8958333.3300000001</v>
      </c>
      <c r="D478" s="8">
        <v>7068493.1500000004</v>
      </c>
      <c r="E478" s="8">
        <v>848219.1799999997</v>
      </c>
      <c r="F478" s="8">
        <v>16875045.66</v>
      </c>
      <c r="G478" s="7">
        <v>46221</v>
      </c>
      <c r="H478" s="1" t="s">
        <v>26</v>
      </c>
      <c r="I478" s="1" t="str">
        <f>IF(G478&lt;=$K$1,"Pagado","Pendiente")</f>
        <v>Pendiente</v>
      </c>
    </row>
    <row r="479" spans="1:10" s="10" customFormat="1" hidden="1">
      <c r="A479" s="2">
        <v>66235635</v>
      </c>
      <c r="B479" s="2">
        <v>16</v>
      </c>
      <c r="C479" s="8">
        <v>7916666.6699999999</v>
      </c>
      <c r="D479" s="8">
        <v>7808219.1799999997</v>
      </c>
      <c r="E479" s="8">
        <v>936986.30000000075</v>
      </c>
      <c r="F479" s="8">
        <v>16661872.15</v>
      </c>
      <c r="G479" s="7">
        <v>45963</v>
      </c>
      <c r="H479" s="1" t="s">
        <v>26</v>
      </c>
      <c r="I479" s="1" t="str">
        <f>IF(G479&lt;=$K$1,"Pagado","Pendiente")</f>
        <v>Pagado</v>
      </c>
    </row>
    <row r="480" spans="1:10" hidden="1">
      <c r="A480" s="2">
        <v>65210751</v>
      </c>
      <c r="B480" s="2">
        <v>26</v>
      </c>
      <c r="C480" s="8">
        <v>8958333.3300000001</v>
      </c>
      <c r="D480" s="8">
        <v>6227882.4199999999</v>
      </c>
      <c r="E480" s="8">
        <v>747345.8900000006</v>
      </c>
      <c r="F480" s="8">
        <v>15933561.640000001</v>
      </c>
      <c r="G480" s="7">
        <v>46252</v>
      </c>
      <c r="H480" s="1" t="s">
        <v>26</v>
      </c>
      <c r="I480" s="1" t="str">
        <f>IF(G480&lt;=$K$1,"Pagado","Pendiente")</f>
        <v>Pendiente</v>
      </c>
    </row>
    <row r="481" spans="1:10" hidden="1">
      <c r="A481" s="2">
        <v>65210751</v>
      </c>
      <c r="B481" s="2">
        <v>27</v>
      </c>
      <c r="C481" s="8">
        <v>8958333.3300000001</v>
      </c>
      <c r="D481" s="8">
        <v>6467180.3700000001</v>
      </c>
      <c r="E481" s="8">
        <v>776061.65000000037</v>
      </c>
      <c r="F481" s="8">
        <v>16201575.35</v>
      </c>
      <c r="G481" s="7">
        <v>46283</v>
      </c>
      <c r="H481" s="1" t="s">
        <v>26</v>
      </c>
      <c r="I481" s="1" t="str">
        <f>IF(G481&lt;=$K$1,"Pagado","Pendiente")</f>
        <v>Pendiente</v>
      </c>
    </row>
    <row r="482" spans="1:10" hidden="1">
      <c r="A482" s="2">
        <v>119980</v>
      </c>
      <c r="B482" s="2">
        <v>23</v>
      </c>
      <c r="C482" s="8">
        <v>14166666.67</v>
      </c>
      <c r="D482" s="8">
        <v>14630867.58</v>
      </c>
      <c r="E482" s="8">
        <f>+F482-D482-C482</f>
        <v>1755704.1099999994</v>
      </c>
      <c r="F482" s="8">
        <v>30553238.359999999</v>
      </c>
      <c r="G482" s="7">
        <v>46299</v>
      </c>
      <c r="H482" s="1" t="s">
        <v>26</v>
      </c>
      <c r="I482" s="1" t="str">
        <f>IF(G482&lt;=$K$1,"Pagado","Pendiente")</f>
        <v>Pendiente</v>
      </c>
    </row>
    <row r="483" spans="1:10" hidden="1">
      <c r="A483" s="2">
        <v>23700</v>
      </c>
      <c r="B483" s="2">
        <v>21</v>
      </c>
      <c r="C483" s="8">
        <v>14278433.619999999</v>
      </c>
      <c r="D483" s="8">
        <v>8343463.6100000003</v>
      </c>
      <c r="E483" s="8">
        <v>1001215.63</v>
      </c>
      <c r="F483" s="8">
        <v>23623112.859999999</v>
      </c>
      <c r="G483" s="7">
        <v>46333</v>
      </c>
      <c r="H483" s="1" t="s">
        <v>31</v>
      </c>
      <c r="I483" s="1" t="str">
        <f>IF(G483&lt;=$K$1,"Pagado","Pendiente")</f>
        <v>Pendiente</v>
      </c>
    </row>
    <row r="484" spans="1:10" hidden="1">
      <c r="A484" s="2">
        <v>20828</v>
      </c>
      <c r="B484" s="2">
        <v>47</v>
      </c>
      <c r="C484" s="8">
        <v>827106.43989376409</v>
      </c>
      <c r="D484" s="8">
        <v>956624.08571040875</v>
      </c>
      <c r="E484" s="8">
        <f>+D484*0.105</f>
        <v>100445.52899959292</v>
      </c>
      <c r="F484" s="8">
        <f>+C484+D484+E484</f>
        <v>1884176.0546037657</v>
      </c>
      <c r="G484" s="7">
        <v>46338</v>
      </c>
      <c r="H484" s="1" t="s">
        <v>31</v>
      </c>
      <c r="I484" s="1" t="str">
        <f>IF(G484&lt;=$K$1,"Pagado","Pendiente")</f>
        <v>Pendiente</v>
      </c>
    </row>
    <row r="485" spans="1:10" hidden="1">
      <c r="A485" s="2">
        <v>23996</v>
      </c>
      <c r="B485" s="2">
        <v>16</v>
      </c>
      <c r="C485" s="8">
        <v>1251522.6599999999</v>
      </c>
      <c r="D485" s="8">
        <v>9305279.2699999996</v>
      </c>
      <c r="E485" s="8">
        <v>1117564.04</v>
      </c>
      <c r="F485" s="8">
        <f>+C485+D485+E485</f>
        <v>11674365.969999999</v>
      </c>
      <c r="G485" s="7">
        <v>46339</v>
      </c>
      <c r="H485" s="1" t="s">
        <v>31</v>
      </c>
      <c r="I485" s="1" t="str">
        <f>IF(G485&lt;=$K$1,"Pagado","Pendiente")</f>
        <v>Pendiente</v>
      </c>
    </row>
    <row r="486" spans="1:10" hidden="1">
      <c r="A486" s="2">
        <v>927328</v>
      </c>
      <c r="B486" s="2">
        <v>25</v>
      </c>
      <c r="C486" s="8">
        <v>5791568.4435738791</v>
      </c>
      <c r="D486" s="8">
        <v>8255451.1998920422</v>
      </c>
      <c r="E486" s="8">
        <v>990654.14398704504</v>
      </c>
      <c r="F486" s="8">
        <v>15037673.787452966</v>
      </c>
      <c r="G486" s="7">
        <v>46343</v>
      </c>
      <c r="H486" s="1" t="s">
        <v>32</v>
      </c>
      <c r="I486" s="1" t="str">
        <f>IF(G486&lt;=$K$1,"Pagado","Pendiente")</f>
        <v>Pendiente</v>
      </c>
    </row>
    <row r="487" spans="1:10" hidden="1">
      <c r="A487" s="2">
        <v>75472831</v>
      </c>
      <c r="B487" s="2">
        <v>16</v>
      </c>
      <c r="C487" s="8">
        <v>2083333.33</v>
      </c>
      <c r="D487" s="8">
        <v>2383561.64</v>
      </c>
      <c r="E487" s="8">
        <f>+F487-D487-C487</f>
        <v>286027.39000000013</v>
      </c>
      <c r="F487" s="8">
        <v>4752922.3600000003</v>
      </c>
      <c r="G487" s="7">
        <v>46070</v>
      </c>
      <c r="H487" s="1" t="s">
        <v>26</v>
      </c>
      <c r="I487" s="1" t="str">
        <f>IF(G487&lt;=$K$1,"Pagado","Pendiente")</f>
        <v>Pagado</v>
      </c>
    </row>
    <row r="488" spans="1:10" hidden="1">
      <c r="A488" s="2">
        <v>863502400</v>
      </c>
      <c r="B488" s="2">
        <v>15</v>
      </c>
      <c r="C488" s="8">
        <v>2809672.28</v>
      </c>
      <c r="D488" s="8">
        <v>7211914.9500000002</v>
      </c>
      <c r="E488" s="8">
        <v>865429.79</v>
      </c>
      <c r="F488" s="8">
        <v>10887017.02</v>
      </c>
      <c r="G488" s="7">
        <v>46098</v>
      </c>
      <c r="H488" s="1" t="s">
        <v>24</v>
      </c>
      <c r="I488" s="1" t="str">
        <f>IF(G488&lt;=$K$1,"Pagado","Pendiente")</f>
        <v>Pagado</v>
      </c>
    </row>
    <row r="489" spans="1:10" s="10" customFormat="1" hidden="1">
      <c r="A489" s="2">
        <v>863502600</v>
      </c>
      <c r="B489" s="2">
        <v>23</v>
      </c>
      <c r="C489" s="8">
        <v>1811790.4</v>
      </c>
      <c r="D489" s="8">
        <v>3371789.2</v>
      </c>
      <c r="E489" s="8">
        <v>404614.71</v>
      </c>
      <c r="F489" s="8">
        <v>5588194.3099999996</v>
      </c>
      <c r="G489" s="7">
        <v>46343</v>
      </c>
      <c r="H489" s="1" t="s">
        <v>24</v>
      </c>
      <c r="I489" s="1" t="str">
        <f>IF(G489&lt;=$K$1,"Pagado","Pendiente")</f>
        <v>Pendiente</v>
      </c>
      <c r="J489" s="15"/>
    </row>
    <row r="490" spans="1:10" hidden="1">
      <c r="A490" s="2">
        <v>23790</v>
      </c>
      <c r="B490" s="2">
        <v>20</v>
      </c>
      <c r="C490" s="8">
        <v>13862819.422971725</v>
      </c>
      <c r="D490" s="8">
        <v>8932414.6716936342</v>
      </c>
      <c r="E490" s="8">
        <v>1071889.760603236</v>
      </c>
      <c r="F490" s="8">
        <v>23867123.855268598</v>
      </c>
      <c r="G490" s="7">
        <v>46343</v>
      </c>
      <c r="H490" s="1" t="s">
        <v>31</v>
      </c>
      <c r="I490" s="1" t="str">
        <f>IF(G490&lt;=$K$1,"Pagado","Pendiente")</f>
        <v>Pendiente</v>
      </c>
    </row>
    <row r="491" spans="1:10" hidden="1">
      <c r="A491" s="2">
        <v>24004</v>
      </c>
      <c r="B491" s="2">
        <v>16</v>
      </c>
      <c r="C491" s="8">
        <v>1305359.96</v>
      </c>
      <c r="D491" s="8">
        <v>4469149.6100000003</v>
      </c>
      <c r="E491" s="8">
        <v>536744.86</v>
      </c>
      <c r="F491" s="8">
        <v>6311254.4299999997</v>
      </c>
      <c r="G491" s="7">
        <v>46343</v>
      </c>
      <c r="H491" s="1" t="s">
        <v>31</v>
      </c>
      <c r="I491" s="1" t="str">
        <f>IF(G491&lt;=$K$1,"Pagado","Pendiente")</f>
        <v>Pendiente</v>
      </c>
    </row>
    <row r="492" spans="1:10" hidden="1">
      <c r="A492" s="2">
        <v>65210751</v>
      </c>
      <c r="B492" s="2">
        <v>28</v>
      </c>
      <c r="C492" s="8">
        <v>8958333.3300000001</v>
      </c>
      <c r="D492" s="8">
        <v>6276969.1799999997</v>
      </c>
      <c r="E492" s="8">
        <v>753236.30000000075</v>
      </c>
      <c r="F492" s="8">
        <v>15988538.810000001</v>
      </c>
      <c r="G492" s="7">
        <v>46313</v>
      </c>
      <c r="H492" s="1" t="s">
        <v>26</v>
      </c>
      <c r="I492" s="1" t="str">
        <f>IF(G492&lt;=$K$1,"Pagado","Pendiente")</f>
        <v>Pendiente</v>
      </c>
    </row>
    <row r="493" spans="1:10" hidden="1">
      <c r="A493" s="2">
        <v>23430</v>
      </c>
      <c r="B493" s="2">
        <v>28</v>
      </c>
      <c r="C493" s="8">
        <v>726096.8</v>
      </c>
      <c r="D493" s="8">
        <v>3863327.45</v>
      </c>
      <c r="E493" s="8">
        <v>463599.29</v>
      </c>
      <c r="F493" s="8">
        <v>5053023.54</v>
      </c>
      <c r="G493" s="7">
        <v>46345</v>
      </c>
      <c r="H493" s="1" t="s">
        <v>31</v>
      </c>
      <c r="I493" s="1" t="str">
        <f>IF(G493&lt;=$K$1,"Pagado","Pendiente")</f>
        <v>Pendiente</v>
      </c>
    </row>
    <row r="494" spans="1:10" hidden="1">
      <c r="A494" s="2">
        <v>23467</v>
      </c>
      <c r="B494" s="2">
        <v>27</v>
      </c>
      <c r="C494" s="8">
        <v>2722863.03</v>
      </c>
      <c r="D494" s="8">
        <v>14487477.93</v>
      </c>
      <c r="E494" s="8">
        <v>1738497.35</v>
      </c>
      <c r="F494" s="8">
        <v>18948838.309999999</v>
      </c>
      <c r="G494" s="7">
        <v>46345</v>
      </c>
      <c r="H494" s="1" t="s">
        <v>31</v>
      </c>
      <c r="I494" s="1" t="str">
        <f>IF(G494&lt;=$K$1,"Pagado","Pendiente")</f>
        <v>Pendiente</v>
      </c>
    </row>
    <row r="495" spans="1:10" hidden="1">
      <c r="A495" s="2">
        <v>394949</v>
      </c>
      <c r="B495" s="2">
        <v>23</v>
      </c>
      <c r="C495" s="8">
        <v>1213556.3500000001</v>
      </c>
      <c r="D495" s="8">
        <v>3692760.94</v>
      </c>
      <c r="E495" s="8">
        <v>443131.3</v>
      </c>
      <c r="F495" s="8">
        <v>5349448.59</v>
      </c>
      <c r="G495" s="7">
        <v>46352</v>
      </c>
      <c r="H495" s="1" t="s">
        <v>30</v>
      </c>
      <c r="I495" s="1" t="str">
        <f>IF(G495&lt;=$K$1,"Pagado","Pendiente")</f>
        <v>Pendiente</v>
      </c>
    </row>
    <row r="496" spans="1:10" hidden="1">
      <c r="A496" s="2">
        <v>347916</v>
      </c>
      <c r="B496" s="2">
        <v>29</v>
      </c>
      <c r="C496" s="8">
        <v>3175662.7622711919</v>
      </c>
      <c r="D496" s="8">
        <v>5277521.0059882347</v>
      </c>
      <c r="E496" s="8">
        <v>633302.52071858814</v>
      </c>
      <c r="F496" s="8">
        <v>9086486.2889780141</v>
      </c>
      <c r="G496" s="7">
        <v>46353</v>
      </c>
      <c r="H496" s="1" t="s">
        <v>30</v>
      </c>
      <c r="I496" s="1" t="str">
        <f>IF(G496&lt;=$K$1,"Pagado","Pendiente")</f>
        <v>Pendiente</v>
      </c>
    </row>
    <row r="497" spans="1:9" hidden="1">
      <c r="A497" s="2">
        <v>2537844</v>
      </c>
      <c r="B497" s="2">
        <v>32</v>
      </c>
      <c r="C497" s="8">
        <v>2500000</v>
      </c>
      <c r="D497" s="8">
        <v>1082876.6675</v>
      </c>
      <c r="E497" s="8">
        <v>129945.20009999999</v>
      </c>
      <c r="F497" s="8">
        <v>3712821.8676</v>
      </c>
      <c r="G497" s="7">
        <v>46353</v>
      </c>
      <c r="H497" s="1" t="s">
        <v>29</v>
      </c>
      <c r="I497" s="1" t="str">
        <f>IF(G497&lt;=$K$1,"Pagado","Pendiente")</f>
        <v>Pendiente</v>
      </c>
    </row>
    <row r="498" spans="1:9" hidden="1">
      <c r="A498" s="2">
        <v>843950300</v>
      </c>
      <c r="B498" s="2">
        <v>15</v>
      </c>
      <c r="C498" s="8">
        <v>2188298.7999999998</v>
      </c>
      <c r="D498" s="8">
        <v>5587070.5999999996</v>
      </c>
      <c r="E498" s="8">
        <f>+F498-D498-C498</f>
        <v>670448.46999999974</v>
      </c>
      <c r="F498" s="8">
        <v>8445817.8699999992</v>
      </c>
      <c r="G498" s="7">
        <v>46018</v>
      </c>
      <c r="H498" s="1" t="s">
        <v>24</v>
      </c>
      <c r="I498" s="1" t="str">
        <f>IF(G498&lt;=$K$1,"Pagado","Pendiente")</f>
        <v>Pagado</v>
      </c>
    </row>
    <row r="499" spans="1:9" hidden="1">
      <c r="A499" s="2">
        <v>31295</v>
      </c>
      <c r="B499" s="2">
        <v>15</v>
      </c>
      <c r="C499" s="8">
        <v>2084364.29</v>
      </c>
      <c r="D499" s="8">
        <v>5175655.93</v>
      </c>
      <c r="E499" s="8">
        <v>621078.71</v>
      </c>
      <c r="F499" s="8">
        <v>7881098.9299999997</v>
      </c>
      <c r="G499" s="7">
        <v>46108</v>
      </c>
      <c r="H499" s="1" t="s">
        <v>35</v>
      </c>
      <c r="I499" s="1" t="str">
        <f>IF(G499&lt;=$K$1,"Pagado","Pendiente")</f>
        <v>Pagado</v>
      </c>
    </row>
    <row r="500" spans="1:9" hidden="1">
      <c r="A500" s="2">
        <v>20466</v>
      </c>
      <c r="B500" s="2">
        <v>51</v>
      </c>
      <c r="C500" s="8">
        <v>710902.01994716784</v>
      </c>
      <c r="D500" s="8">
        <v>651259.76383961795</v>
      </c>
      <c r="E500" s="8">
        <f>+D500*0.12</f>
        <v>78151.171660754146</v>
      </c>
      <c r="F500" s="8">
        <f>+C500+D500+E500</f>
        <v>1440312.9554475399</v>
      </c>
      <c r="G500" s="7">
        <v>46356</v>
      </c>
      <c r="H500" s="1" t="s">
        <v>31</v>
      </c>
      <c r="I500" s="1" t="str">
        <f>IF(G500&lt;=$K$1,"Pagado","Pendiente")</f>
        <v>Pendiente</v>
      </c>
    </row>
    <row r="501" spans="1:9" hidden="1">
      <c r="A501" s="2">
        <v>66235635</v>
      </c>
      <c r="B501" s="2">
        <v>17</v>
      </c>
      <c r="C501" s="8">
        <v>7916666.6699999999</v>
      </c>
      <c r="D501" s="8">
        <v>6918949.7699999996</v>
      </c>
      <c r="E501" s="8">
        <v>830273.98000000045</v>
      </c>
      <c r="F501" s="8">
        <v>15665890.42</v>
      </c>
      <c r="G501" s="7">
        <v>45993</v>
      </c>
      <c r="H501" s="1" t="s">
        <v>26</v>
      </c>
      <c r="I501" s="1" t="str">
        <f>IF(G501&lt;=$K$1,"Pagado","Pendiente")</f>
        <v>Pagado</v>
      </c>
    </row>
    <row r="502" spans="1:9" hidden="1">
      <c r="A502" s="2">
        <v>22044</v>
      </c>
      <c r="B502" s="2">
        <v>40</v>
      </c>
      <c r="C502" s="8">
        <v>1030034.8957928002</v>
      </c>
      <c r="D502" s="8">
        <v>1701962.9550544478</v>
      </c>
      <c r="E502" s="8">
        <v>204235.55460653373</v>
      </c>
      <c r="F502" s="8">
        <v>2936233.4054537816</v>
      </c>
      <c r="G502" s="7">
        <v>46358</v>
      </c>
      <c r="H502" s="1" t="s">
        <v>31</v>
      </c>
      <c r="I502" s="1" t="str">
        <f>IF(G502&lt;=$K$1,"Pagado","Pendiente")</f>
        <v>Pendiente</v>
      </c>
    </row>
    <row r="503" spans="1:9" hidden="1">
      <c r="A503" s="2">
        <v>119980</v>
      </c>
      <c r="B503" s="2">
        <v>24</v>
      </c>
      <c r="C503" s="8">
        <v>14166666.67</v>
      </c>
      <c r="D503" s="8">
        <v>13786301.369999999</v>
      </c>
      <c r="E503" s="8">
        <f>+F503-D503-C503</f>
        <v>1654356.1600000001</v>
      </c>
      <c r="F503" s="8">
        <v>29607324.199999999</v>
      </c>
      <c r="G503" s="7">
        <v>46330</v>
      </c>
      <c r="H503" s="1" t="s">
        <v>26</v>
      </c>
      <c r="I503" s="1" t="str">
        <f>IF(G503&lt;=$K$1,"Pagado","Pendiente")</f>
        <v>Pendiente</v>
      </c>
    </row>
    <row r="504" spans="1:9" hidden="1">
      <c r="A504" s="2">
        <v>23700</v>
      </c>
      <c r="B504" s="2">
        <v>22</v>
      </c>
      <c r="C504" s="8">
        <v>14695050.93</v>
      </c>
      <c r="D504" s="8">
        <v>7926846.2999999998</v>
      </c>
      <c r="E504" s="8">
        <v>951221.55</v>
      </c>
      <c r="F504" s="8">
        <v>23573118.780000001</v>
      </c>
      <c r="G504" s="7">
        <v>46363</v>
      </c>
      <c r="H504" s="1" t="s">
        <v>31</v>
      </c>
      <c r="I504" s="1" t="str">
        <f>IF(G504&lt;=$K$1,"Pagado","Pendiente")</f>
        <v>Pendiente</v>
      </c>
    </row>
    <row r="505" spans="1:9" hidden="1">
      <c r="A505" s="2">
        <v>20828</v>
      </c>
      <c r="B505" s="2">
        <v>48</v>
      </c>
      <c r="C505" s="8">
        <v>851919.63309057697</v>
      </c>
      <c r="D505" s="8">
        <v>931810.89251359587</v>
      </c>
      <c r="E505" s="8">
        <f>+D505*0.105</f>
        <v>97840.143713927566</v>
      </c>
      <c r="F505" s="8">
        <f>+C505+D505+E505</f>
        <v>1881570.6693181004</v>
      </c>
      <c r="G505" s="7">
        <v>46368</v>
      </c>
      <c r="H505" s="1" t="s">
        <v>31</v>
      </c>
      <c r="I505" s="1" t="str">
        <f>IF(G505&lt;=$K$1,"Pagado","Pendiente")</f>
        <v>Pendiente</v>
      </c>
    </row>
    <row r="506" spans="1:9" hidden="1">
      <c r="A506" s="2">
        <v>23996</v>
      </c>
      <c r="B506" s="2">
        <v>17</v>
      </c>
      <c r="C506" s="8">
        <v>1290804.18</v>
      </c>
      <c r="D506" s="8">
        <v>9265997.75</v>
      </c>
      <c r="E506" s="8">
        <v>1112846.33</v>
      </c>
      <c r="F506" s="8">
        <f>+C506+D506+E506</f>
        <v>11669648.26</v>
      </c>
      <c r="G506" s="7">
        <v>46369</v>
      </c>
      <c r="H506" s="1" t="s">
        <v>31</v>
      </c>
      <c r="I506" s="1" t="str">
        <f>IF(G506&lt;=$K$1,"Pagado","Pendiente")</f>
        <v>Pendiente</v>
      </c>
    </row>
    <row r="507" spans="1:9" hidden="1">
      <c r="A507" s="2">
        <v>927328</v>
      </c>
      <c r="B507" s="2">
        <v>26</v>
      </c>
      <c r="C507" s="8">
        <v>5935875.0239595948</v>
      </c>
      <c r="D507" s="8">
        <v>8111144.6195063265</v>
      </c>
      <c r="E507" s="8">
        <v>973337.35434075922</v>
      </c>
      <c r="F507" s="8">
        <v>15020356.997806681</v>
      </c>
      <c r="G507" s="7">
        <v>46373</v>
      </c>
      <c r="H507" s="1" t="s">
        <v>32</v>
      </c>
      <c r="I507" s="1" t="str">
        <f>IF(G507&lt;=$K$1,"Pagado","Pendiente")</f>
        <v>Pendiente</v>
      </c>
    </row>
    <row r="508" spans="1:9" hidden="1">
      <c r="A508" s="2">
        <v>75472831</v>
      </c>
      <c r="B508" s="2">
        <v>17</v>
      </c>
      <c r="C508" s="8">
        <v>2083333.33</v>
      </c>
      <c r="D508" s="8">
        <v>2250228.31</v>
      </c>
      <c r="E508" s="8">
        <f>+F508-D508-C508</f>
        <v>270027.39000000013</v>
      </c>
      <c r="F508" s="8">
        <v>4603589.03</v>
      </c>
      <c r="G508" s="7">
        <v>46098</v>
      </c>
      <c r="H508" s="1" t="s">
        <v>26</v>
      </c>
      <c r="I508" s="1" t="str">
        <f>IF(G508&lt;=$K$1,"Pagado","Pendiente")</f>
        <v>Pagado</v>
      </c>
    </row>
    <row r="509" spans="1:9" hidden="1">
      <c r="A509" s="2">
        <v>946100200</v>
      </c>
      <c r="B509" s="2">
        <v>4</v>
      </c>
      <c r="C509" s="8">
        <v>22222222.219999999</v>
      </c>
      <c r="D509" s="8">
        <v>11365073.77</v>
      </c>
      <c r="E509" s="8">
        <v>1363808.86</v>
      </c>
      <c r="F509" s="30">
        <v>34951104.850000001</v>
      </c>
      <c r="G509" s="7">
        <v>46132</v>
      </c>
      <c r="H509" s="1" t="s">
        <v>24</v>
      </c>
      <c r="I509" s="1" t="str">
        <f>IF(G509&lt;=$K$1,"Pagado","Pendiente")</f>
        <v>Pagado</v>
      </c>
    </row>
    <row r="510" spans="1:9" hidden="1">
      <c r="A510" s="2">
        <v>863502600</v>
      </c>
      <c r="B510" s="2">
        <v>24</v>
      </c>
      <c r="C510" s="8">
        <v>1862420.89</v>
      </c>
      <c r="D510" s="8">
        <v>3321158.71</v>
      </c>
      <c r="E510" s="8">
        <v>398539.04</v>
      </c>
      <c r="F510" s="8">
        <v>5582118.6399999997</v>
      </c>
      <c r="G510" s="7">
        <v>46373</v>
      </c>
      <c r="H510" s="1" t="s">
        <v>24</v>
      </c>
      <c r="I510" s="1" t="str">
        <f>IF(G510&lt;=$K$1,"Pagado","Pendiente")</f>
        <v>Pendiente</v>
      </c>
    </row>
    <row r="511" spans="1:9" hidden="1">
      <c r="A511" s="2">
        <v>23790</v>
      </c>
      <c r="B511" s="2">
        <v>21</v>
      </c>
      <c r="C511" s="8">
        <v>14274371.8745912</v>
      </c>
      <c r="D511" s="8">
        <v>8520862.22007416</v>
      </c>
      <c r="E511" s="8">
        <v>1022503.4664088992</v>
      </c>
      <c r="F511" s="8">
        <v>23817737.561074261</v>
      </c>
      <c r="G511" s="7">
        <v>46373</v>
      </c>
      <c r="H511" s="1" t="s">
        <v>31</v>
      </c>
      <c r="I511" s="1" t="str">
        <f>IF(G511&lt;=$K$1,"Pagado","Pendiente")</f>
        <v>Pendiente</v>
      </c>
    </row>
    <row r="512" spans="1:9" hidden="1">
      <c r="A512" s="2">
        <v>24004</v>
      </c>
      <c r="B512" s="2">
        <v>17</v>
      </c>
      <c r="C512" s="8">
        <v>1349214.69</v>
      </c>
      <c r="D512" s="8">
        <v>4425294.88</v>
      </c>
      <c r="E512" s="8">
        <v>531477.91</v>
      </c>
      <c r="F512" s="8">
        <v>6305987.4800000004</v>
      </c>
      <c r="G512" s="7">
        <v>46373</v>
      </c>
      <c r="H512" s="1" t="s">
        <v>31</v>
      </c>
      <c r="I512" s="1" t="str">
        <f>IF(G512&lt;=$K$1,"Pagado","Pendiente")</f>
        <v>Pendiente</v>
      </c>
    </row>
    <row r="513" spans="1:9" hidden="1">
      <c r="A513" s="2">
        <v>65210751</v>
      </c>
      <c r="B513" s="2">
        <v>29</v>
      </c>
      <c r="C513" s="8">
        <v>8958333.3300000001</v>
      </c>
      <c r="D513" s="8">
        <v>5890410.96</v>
      </c>
      <c r="E513" s="8">
        <v>706849.31000000052</v>
      </c>
      <c r="F513" s="8">
        <v>15555593.6</v>
      </c>
      <c r="G513" s="7">
        <v>46344</v>
      </c>
      <c r="H513" s="1" t="s">
        <v>26</v>
      </c>
      <c r="I513" s="1" t="str">
        <f>IF(G513&lt;=$K$1,"Pagado","Pendiente")</f>
        <v>Pendiente</v>
      </c>
    </row>
    <row r="514" spans="1:9" hidden="1">
      <c r="A514" s="2">
        <v>23430</v>
      </c>
      <c r="B514" s="2">
        <v>29</v>
      </c>
      <c r="C514" s="8">
        <v>749968.47</v>
      </c>
      <c r="D514" s="8">
        <v>3839455.78</v>
      </c>
      <c r="E514" s="8">
        <v>460734.7</v>
      </c>
      <c r="F514" s="8">
        <v>5050158.95</v>
      </c>
      <c r="G514" s="7">
        <v>46375</v>
      </c>
      <c r="H514" s="1" t="s">
        <v>31</v>
      </c>
      <c r="I514" s="1" t="str">
        <f>IF(G514&lt;=$K$1,"Pagado","Pendiente")</f>
        <v>Pendiente</v>
      </c>
    </row>
    <row r="515" spans="1:9" hidden="1">
      <c r="A515" s="2">
        <v>23467</v>
      </c>
      <c r="B515" s="2">
        <v>28</v>
      </c>
      <c r="C515" s="8">
        <v>2812381.82</v>
      </c>
      <c r="D515" s="8">
        <v>14397959.140000001</v>
      </c>
      <c r="E515" s="8">
        <v>1727755.1</v>
      </c>
      <c r="F515" s="8">
        <v>18938096.059999999</v>
      </c>
      <c r="G515" s="7">
        <v>46375</v>
      </c>
      <c r="H515" s="1" t="s">
        <v>31</v>
      </c>
      <c r="I515" s="1" t="str">
        <f>IF(G515&lt;=$K$1,"Pagado","Pendiente")</f>
        <v>Pendiente</v>
      </c>
    </row>
    <row r="516" spans="1:9" hidden="1">
      <c r="A516" s="2">
        <v>394949</v>
      </c>
      <c r="B516" s="2">
        <v>24</v>
      </c>
      <c r="C516" s="8">
        <v>1247940.44</v>
      </c>
      <c r="D516" s="8">
        <v>3658376.85</v>
      </c>
      <c r="E516" s="8">
        <v>439005.21</v>
      </c>
      <c r="F516" s="8">
        <v>5345322.5</v>
      </c>
      <c r="G516" s="7">
        <v>46382</v>
      </c>
      <c r="H516" s="1" t="s">
        <v>30</v>
      </c>
      <c r="I516" s="1" t="str">
        <f>IF(G516&lt;=$K$1,"Pagado","Pendiente")</f>
        <v>Pendiente</v>
      </c>
    </row>
    <row r="517" spans="1:9" hidden="1">
      <c r="A517" s="2">
        <v>347916</v>
      </c>
      <c r="B517" s="2">
        <v>30</v>
      </c>
      <c r="C517" s="8">
        <v>3247115.1744222939</v>
      </c>
      <c r="D517" s="8">
        <v>5206068.5938371327</v>
      </c>
      <c r="E517" s="8">
        <v>624728.23126045591</v>
      </c>
      <c r="F517" s="8">
        <v>9077911.9995198827</v>
      </c>
      <c r="G517" s="7">
        <v>46383</v>
      </c>
      <c r="H517" s="1" t="s">
        <v>30</v>
      </c>
      <c r="I517" s="1" t="str">
        <f>IF(G517&lt;=$K$1,"Pagado","Pendiente")</f>
        <v>Pendiente</v>
      </c>
    </row>
    <row r="518" spans="1:9" hidden="1">
      <c r="A518" s="2">
        <v>2537844</v>
      </c>
      <c r="B518" s="2">
        <v>33</v>
      </c>
      <c r="C518" s="8">
        <v>2500000</v>
      </c>
      <c r="D518" s="8">
        <v>1019178.04</v>
      </c>
      <c r="E518" s="8">
        <v>122301.3648</v>
      </c>
      <c r="F518" s="8">
        <v>3641479.4048000001</v>
      </c>
      <c r="G518" s="7">
        <v>46383</v>
      </c>
      <c r="H518" s="1" t="s">
        <v>29</v>
      </c>
      <c r="I518" s="1" t="str">
        <f>IF(G518&lt;=$K$1,"Pagado","Pendiente")</f>
        <v>Pendiente</v>
      </c>
    </row>
    <row r="519" spans="1:9" hidden="1">
      <c r="A519" s="2">
        <v>843950300</v>
      </c>
      <c r="B519" s="2">
        <v>16</v>
      </c>
      <c r="C519" s="8">
        <v>2249450.81</v>
      </c>
      <c r="D519" s="8">
        <v>5525918.5899999999</v>
      </c>
      <c r="E519" s="8">
        <f>+F519-D519-C519</f>
        <v>663110.23000000091</v>
      </c>
      <c r="F519" s="8">
        <v>8438479.6300000008</v>
      </c>
      <c r="G519" s="7">
        <v>46049</v>
      </c>
      <c r="H519" s="1" t="s">
        <v>24</v>
      </c>
      <c r="I519" s="1" t="str">
        <f>IF(G519&lt;=$K$1,"Pagado","Pendiente")</f>
        <v>Pagado</v>
      </c>
    </row>
    <row r="520" spans="1:9" hidden="1">
      <c r="A520" s="2">
        <v>31295</v>
      </c>
      <c r="B520" s="2">
        <v>16</v>
      </c>
      <c r="C520" s="8">
        <v>2141684.31</v>
      </c>
      <c r="D520" s="8">
        <v>5118335.91</v>
      </c>
      <c r="E520" s="8">
        <v>614200.31000000006</v>
      </c>
      <c r="F520" s="8">
        <v>7874220.5300000003</v>
      </c>
      <c r="G520" s="7">
        <v>46139</v>
      </c>
      <c r="H520" s="1" t="s">
        <v>35</v>
      </c>
      <c r="I520" s="1" t="str">
        <f>IF(G520&lt;=$K$1,"Pagado","Pendiente")</f>
        <v>Pagado</v>
      </c>
    </row>
    <row r="521" spans="1:9" hidden="1">
      <c r="A521" s="2">
        <v>20466</v>
      </c>
      <c r="B521" s="2">
        <v>52</v>
      </c>
      <c r="C521" s="8">
        <v>732229.08054558281</v>
      </c>
      <c r="D521" s="8">
        <v>629932.70324120298</v>
      </c>
      <c r="E521" s="8">
        <f>+D521*0.12</f>
        <v>75591.924388944361</v>
      </c>
      <c r="F521" s="8">
        <f>+C521+D521+E521</f>
        <v>1437753.7081757302</v>
      </c>
      <c r="G521" s="7">
        <v>46387</v>
      </c>
      <c r="H521" s="1" t="s">
        <v>31</v>
      </c>
      <c r="I521" s="1" t="str">
        <f>IF(G521&lt;=$K$1,"Pagado","Pendiente")</f>
        <v>Pendiente</v>
      </c>
    </row>
    <row r="522" spans="1:9" hidden="1">
      <c r="A522" s="2">
        <v>66235635</v>
      </c>
      <c r="B522" s="2">
        <v>18</v>
      </c>
      <c r="C522" s="8">
        <v>7916666.6699999999</v>
      </c>
      <c r="D522" s="8">
        <v>7228025.1100000003</v>
      </c>
      <c r="E522" s="8">
        <v>867363.02000000142</v>
      </c>
      <c r="F522" s="8">
        <v>16012054.800000001</v>
      </c>
      <c r="G522" s="7">
        <v>46024</v>
      </c>
      <c r="H522" s="1" t="s">
        <v>26</v>
      </c>
      <c r="I522" s="1" t="str">
        <f>IF(G522&lt;=$K$1,"Pagado","Pendiente")</f>
        <v>Pagado</v>
      </c>
    </row>
    <row r="523" spans="1:9" hidden="1">
      <c r="A523" s="2">
        <v>22044</v>
      </c>
      <c r="B523" s="2">
        <v>41</v>
      </c>
      <c r="C523" s="8">
        <v>1060935.9426665842</v>
      </c>
      <c r="D523" s="8">
        <v>1671061.9081806638</v>
      </c>
      <c r="E523" s="8">
        <v>200527.42898167967</v>
      </c>
      <c r="F523" s="8">
        <v>2932525.2798289275</v>
      </c>
      <c r="G523" s="7">
        <v>46389</v>
      </c>
      <c r="H523" s="1" t="s">
        <v>31</v>
      </c>
      <c r="I523" s="1" t="str">
        <f>IF(G523&lt;=$K$1,"Pagado","Pendiente")</f>
        <v>Pendiente</v>
      </c>
    </row>
    <row r="524" spans="1:9" hidden="1">
      <c r="A524" s="2">
        <v>119980</v>
      </c>
      <c r="B524" s="2">
        <v>25</v>
      </c>
      <c r="C524" s="8">
        <v>14166666.67</v>
      </c>
      <c r="D524" s="8">
        <v>13413698.630000001</v>
      </c>
      <c r="E524" s="8">
        <f>+F524-D524-C524</f>
        <v>1609643.8399999999</v>
      </c>
      <c r="F524" s="8">
        <v>29190009.140000001</v>
      </c>
      <c r="G524" s="7">
        <v>46360</v>
      </c>
      <c r="H524" s="1" t="s">
        <v>26</v>
      </c>
      <c r="I524" s="1" t="str">
        <f>IF(G524&lt;=$K$1,"Pagado","Pendiente")</f>
        <v>Pendiente</v>
      </c>
    </row>
    <row r="525" spans="1:9" hidden="1">
      <c r="A525" s="2">
        <v>23700</v>
      </c>
      <c r="B525" s="2">
        <v>23</v>
      </c>
      <c r="C525" s="8">
        <v>15123824.33</v>
      </c>
      <c r="D525" s="8">
        <v>7498072.9000000004</v>
      </c>
      <c r="E525" s="8">
        <v>899768.74</v>
      </c>
      <c r="F525" s="8">
        <v>23521665.969999999</v>
      </c>
      <c r="G525" s="7">
        <v>46394</v>
      </c>
      <c r="H525" s="1" t="s">
        <v>31</v>
      </c>
      <c r="I525" s="1" t="str">
        <f>IF(G525&lt;=$K$1,"Pagado","Pendiente")</f>
        <v>Pendiente</v>
      </c>
    </row>
    <row r="526" spans="1:9" hidden="1">
      <c r="A526" s="2">
        <v>20828</v>
      </c>
      <c r="B526" s="2">
        <v>49</v>
      </c>
      <c r="C526" s="8">
        <v>877477.2220832943</v>
      </c>
      <c r="D526" s="8">
        <v>906253.30352087854</v>
      </c>
      <c r="E526" s="8">
        <f>+D526*0.105</f>
        <v>95156.59686969225</v>
      </c>
      <c r="F526" s="8">
        <f>+C526+D526+E526</f>
        <v>1878887.122473865</v>
      </c>
      <c r="G526" s="7">
        <v>46399</v>
      </c>
      <c r="H526" s="1" t="s">
        <v>31</v>
      </c>
      <c r="I526" s="1" t="str">
        <f>IF(G526&lt;=$K$1,"Pagado","Pendiente")</f>
        <v>Pendiente</v>
      </c>
    </row>
    <row r="527" spans="1:9" hidden="1">
      <c r="A527" s="2">
        <v>23996</v>
      </c>
      <c r="B527" s="2">
        <v>18</v>
      </c>
      <c r="C527" s="8">
        <v>1331318.6399999999</v>
      </c>
      <c r="D527" s="8">
        <v>9225483.2899999991</v>
      </c>
      <c r="E527" s="8">
        <v>1107980.55</v>
      </c>
      <c r="F527" s="8">
        <f>+C527+D527+E527</f>
        <v>11664782.48</v>
      </c>
      <c r="G527" s="7">
        <v>46400</v>
      </c>
      <c r="H527" s="1" t="s">
        <v>31</v>
      </c>
      <c r="I527" s="1" t="str">
        <f>IF(G527&lt;=$K$1,"Pagado","Pendiente")</f>
        <v>Pendiente</v>
      </c>
    </row>
    <row r="528" spans="1:9" s="10" customFormat="1" hidden="1">
      <c r="A528" s="2">
        <v>66235635</v>
      </c>
      <c r="B528" s="2">
        <v>19</v>
      </c>
      <c r="C528" s="8">
        <v>7916666.6699999999</v>
      </c>
      <c r="D528" s="8">
        <v>7059931.5099999998</v>
      </c>
      <c r="E528" s="8">
        <v>847191.78000000119</v>
      </c>
      <c r="F528" s="8">
        <v>15823789.960000001</v>
      </c>
      <c r="G528" s="7">
        <v>46055</v>
      </c>
      <c r="H528" s="1" t="s">
        <v>26</v>
      </c>
      <c r="I528" s="1" t="str">
        <f>IF(G528&lt;=$K$1,"Pagado","Pendiente")</f>
        <v>Pagado</v>
      </c>
    </row>
    <row r="529" spans="1:10" s="10" customFormat="1" hidden="1">
      <c r="A529" s="2">
        <v>66235635</v>
      </c>
      <c r="B529" s="2">
        <v>20</v>
      </c>
      <c r="C529" s="8">
        <v>7916666.6699999999</v>
      </c>
      <c r="D529" s="8">
        <v>6224885.8399999999</v>
      </c>
      <c r="E529" s="8">
        <v>746986.30000000075</v>
      </c>
      <c r="F529" s="8">
        <v>14888538.810000001</v>
      </c>
      <c r="G529" s="7">
        <v>46083</v>
      </c>
      <c r="H529" s="1" t="s">
        <v>26</v>
      </c>
      <c r="I529" s="1" t="str">
        <f>IF(G529&lt;=$K$1,"Pagado","Pendiente")</f>
        <v>Pagado</v>
      </c>
    </row>
    <row r="530" spans="1:10" s="10" customFormat="1" hidden="1">
      <c r="A530" s="2">
        <v>66235635</v>
      </c>
      <c r="B530" s="2">
        <v>21</v>
      </c>
      <c r="C530" s="8">
        <v>7916666.6699999999</v>
      </c>
      <c r="D530" s="8">
        <v>6723744.29</v>
      </c>
      <c r="E530" s="8">
        <v>806849.31000000052</v>
      </c>
      <c r="F530" s="8">
        <v>15447260.27</v>
      </c>
      <c r="G530" s="7">
        <v>46114</v>
      </c>
      <c r="H530" s="1" t="s">
        <v>26</v>
      </c>
      <c r="I530" s="1" t="str">
        <f>IF(G530&lt;=$K$1,"Pagado","Pendiente")</f>
        <v>Pagado</v>
      </c>
    </row>
    <row r="531" spans="1:10" s="10" customFormat="1">
      <c r="A531" s="2">
        <v>65210751</v>
      </c>
      <c r="B531" s="2">
        <v>23</v>
      </c>
      <c r="C531" s="8">
        <v>8958333.3300000001</v>
      </c>
      <c r="D531" s="8">
        <v>6528538.8099999996</v>
      </c>
      <c r="E531" s="8">
        <v>783424.66000000201</v>
      </c>
      <c r="F531" s="8">
        <v>16270296.800000001</v>
      </c>
      <c r="G531" s="7">
        <v>46160</v>
      </c>
      <c r="H531" s="1" t="s">
        <v>26</v>
      </c>
      <c r="I531" s="1" t="str">
        <f>IF(G531&lt;=$K$1,"Pagado","Pendiente")</f>
        <v>Pendiente</v>
      </c>
    </row>
    <row r="532" spans="1:10" s="10" customFormat="1" hidden="1">
      <c r="A532" s="2">
        <v>66235635</v>
      </c>
      <c r="B532" s="2">
        <v>23</v>
      </c>
      <c r="C532" s="8">
        <v>7916666.6699999999</v>
      </c>
      <c r="D532" s="8">
        <v>5975456.6200000001</v>
      </c>
      <c r="E532" s="8">
        <v>717054.79999999888</v>
      </c>
      <c r="F532" s="8">
        <v>14609178.09</v>
      </c>
      <c r="G532" s="7">
        <v>46175</v>
      </c>
      <c r="H532" s="1" t="s">
        <v>26</v>
      </c>
      <c r="I532" s="1" t="str">
        <f>IF(G532&lt;=$K$1,"Pagado","Pendiente")</f>
        <v>Pendiente</v>
      </c>
    </row>
    <row r="533" spans="1:10" s="10" customFormat="1" hidden="1">
      <c r="A533" s="2">
        <v>66235635</v>
      </c>
      <c r="B533" s="2">
        <v>24</v>
      </c>
      <c r="C533" s="8">
        <v>7916666.6699999999</v>
      </c>
      <c r="D533" s="8">
        <v>6018835.6200000001</v>
      </c>
      <c r="E533" s="8">
        <v>722260.27000000142</v>
      </c>
      <c r="F533" s="8">
        <v>14657762.560000001</v>
      </c>
      <c r="G533" s="7">
        <v>46205</v>
      </c>
      <c r="H533" s="1" t="s">
        <v>26</v>
      </c>
      <c r="I533" s="1" t="str">
        <f>IF(G533&lt;=$K$1,"Pagado","Pendiente")</f>
        <v>Pendiente</v>
      </c>
    </row>
    <row r="534" spans="1:10" s="10" customFormat="1" hidden="1">
      <c r="A534" s="2">
        <v>66235635</v>
      </c>
      <c r="B534" s="2">
        <v>25</v>
      </c>
      <c r="C534" s="8">
        <v>7916666.6699999999</v>
      </c>
      <c r="D534" s="8">
        <v>6246575.3399999999</v>
      </c>
      <c r="E534" s="8">
        <v>749589.04000000097</v>
      </c>
      <c r="F534" s="8">
        <v>14912831.050000001</v>
      </c>
      <c r="G534" s="7">
        <v>46236</v>
      </c>
      <c r="H534" s="1" t="s">
        <v>26</v>
      </c>
      <c r="I534" s="1" t="str">
        <f>IF(G534&lt;=$K$1,"Pagado","Pendiente")</f>
        <v>Pendiente</v>
      </c>
    </row>
    <row r="535" spans="1:10" s="10" customFormat="1" hidden="1">
      <c r="A535" s="2">
        <v>66235635</v>
      </c>
      <c r="B535" s="2">
        <v>26</v>
      </c>
      <c r="C535" s="8">
        <v>7916666.6699999999</v>
      </c>
      <c r="D535" s="8">
        <v>5693493.1500000004</v>
      </c>
      <c r="E535" s="8">
        <v>683219.1799999997</v>
      </c>
      <c r="F535" s="8">
        <v>14293379</v>
      </c>
      <c r="G535" s="7">
        <v>46267</v>
      </c>
      <c r="H535" s="1" t="s">
        <v>26</v>
      </c>
      <c r="I535" s="1" t="str">
        <f>IF(G535&lt;=$K$1,"Pagado","Pendiente")</f>
        <v>Pendiente</v>
      </c>
    </row>
    <row r="536" spans="1:10" s="10" customFormat="1" hidden="1">
      <c r="A536" s="2">
        <v>66235635</v>
      </c>
      <c r="B536" s="2">
        <v>27</v>
      </c>
      <c r="C536" s="8">
        <v>7916666.6699999999</v>
      </c>
      <c r="D536" s="8">
        <v>5530821.9199999999</v>
      </c>
      <c r="E536" s="8">
        <v>663698.63000000082</v>
      </c>
      <c r="F536" s="8">
        <v>14111187.220000001</v>
      </c>
      <c r="G536" s="7">
        <v>46297</v>
      </c>
      <c r="H536" s="1" t="s">
        <v>26</v>
      </c>
      <c r="I536" s="1" t="str">
        <f>IF(G536&lt;=$K$1,"Pagado","Pendiente")</f>
        <v>Pendiente</v>
      </c>
    </row>
    <row r="537" spans="1:10" s="10" customFormat="1" hidden="1">
      <c r="A537" s="2">
        <v>66235635</v>
      </c>
      <c r="B537" s="2">
        <v>28</v>
      </c>
      <c r="C537" s="8">
        <v>7916666.6699999999</v>
      </c>
      <c r="D537" s="8">
        <v>5547089.04</v>
      </c>
      <c r="E537" s="8">
        <v>665650.68999999948</v>
      </c>
      <c r="F537" s="8">
        <v>14129406.4</v>
      </c>
      <c r="G537" s="7">
        <v>46328</v>
      </c>
      <c r="H537" s="1" t="s">
        <v>26</v>
      </c>
      <c r="I537" s="1" t="str">
        <f>IF(G537&lt;=$K$1,"Pagado","Pendiente")</f>
        <v>Pendiente</v>
      </c>
    </row>
    <row r="538" spans="1:10" hidden="1">
      <c r="A538" s="2">
        <v>65210751</v>
      </c>
      <c r="B538" s="2">
        <v>30</v>
      </c>
      <c r="C538" s="8">
        <v>8958333.3300000001</v>
      </c>
      <c r="D538" s="8">
        <v>5706335.6200000001</v>
      </c>
      <c r="E538" s="8">
        <v>684760.27000000142</v>
      </c>
      <c r="F538" s="8">
        <v>15349429.220000001</v>
      </c>
      <c r="G538" s="7">
        <v>46374</v>
      </c>
      <c r="H538" s="1" t="s">
        <v>26</v>
      </c>
      <c r="I538" s="1" t="str">
        <f>IF(G538&lt;=$K$1,"Pagado","Pendiente")</f>
        <v>Pendiente</v>
      </c>
    </row>
    <row r="539" spans="1:10" hidden="1">
      <c r="A539" s="2">
        <v>66235635</v>
      </c>
      <c r="B539" s="2">
        <v>29</v>
      </c>
      <c r="C539" s="8">
        <v>7916666.6699999999</v>
      </c>
      <c r="D539" s="8">
        <v>5205479.45</v>
      </c>
      <c r="E539" s="8">
        <v>624657.52999999933</v>
      </c>
      <c r="F539" s="8">
        <v>13746803.65</v>
      </c>
      <c r="G539" s="7">
        <v>46358</v>
      </c>
      <c r="H539" s="1" t="s">
        <v>26</v>
      </c>
      <c r="I539" s="1" t="str">
        <f>IF(G539&lt;=$K$1,"Pagado","Pendiente")</f>
        <v>Pendiente</v>
      </c>
    </row>
    <row r="540" spans="1:10" hidden="1">
      <c r="A540" s="2">
        <v>66235635</v>
      </c>
      <c r="B540" s="2">
        <v>30</v>
      </c>
      <c r="C540" s="8">
        <v>7916666.6699999999</v>
      </c>
      <c r="D540" s="8">
        <v>5547089.04</v>
      </c>
      <c r="E540" s="8">
        <v>665650.68999999948</v>
      </c>
      <c r="F540" s="8">
        <v>14129406.4</v>
      </c>
      <c r="G540" s="7">
        <v>46389</v>
      </c>
      <c r="H540" s="1" t="s">
        <v>26</v>
      </c>
      <c r="I540" s="1" t="str">
        <f>IF(G540&lt;=$K$1,"Pagado","Pendiente")</f>
        <v>Pendiente</v>
      </c>
    </row>
    <row r="541" spans="1:10" hidden="1">
      <c r="A541" s="2">
        <v>927328</v>
      </c>
      <c r="B541" s="2">
        <v>27</v>
      </c>
      <c r="C541" s="8">
        <v>6083777.2433065875</v>
      </c>
      <c r="D541" s="8">
        <v>7963242.4001593338</v>
      </c>
      <c r="E541" s="8">
        <v>955589.08801912004</v>
      </c>
      <c r="F541" s="8">
        <v>15002608.731485041</v>
      </c>
      <c r="G541" s="7">
        <v>46404</v>
      </c>
      <c r="H541" s="1" t="s">
        <v>32</v>
      </c>
      <c r="I541" s="1" t="str">
        <f>IF(G541&lt;=$K$1,"Pagado","Pendiente")</f>
        <v>Pendiente</v>
      </c>
    </row>
    <row r="542" spans="1:10" hidden="1">
      <c r="A542" s="2">
        <v>75472831</v>
      </c>
      <c r="B542" s="2">
        <v>18</v>
      </c>
      <c r="C542" s="8">
        <v>2083333.33</v>
      </c>
      <c r="D542" s="8">
        <v>2434703.2000000002</v>
      </c>
      <c r="E542" s="8">
        <f>+F542-D542-C542</f>
        <v>292164.38999999966</v>
      </c>
      <c r="F542" s="8">
        <v>4810200.92</v>
      </c>
      <c r="G542" s="7">
        <v>46129</v>
      </c>
      <c r="H542" s="1" t="s">
        <v>26</v>
      </c>
      <c r="I542" s="1" t="str">
        <f>IF(G542&lt;=$K$1,"Pagado","Pendiente")</f>
        <v>Pagado</v>
      </c>
    </row>
    <row r="543" spans="1:10">
      <c r="A543" s="2">
        <v>66235635</v>
      </c>
      <c r="B543" s="2">
        <v>22</v>
      </c>
      <c r="C543" s="8">
        <v>7916666.6699999999</v>
      </c>
      <c r="D543" s="8">
        <v>6767123.29</v>
      </c>
      <c r="E543" s="8">
        <v>812054.79999999888</v>
      </c>
      <c r="F543" s="8">
        <v>15495844.76</v>
      </c>
      <c r="G543" s="7">
        <v>46144</v>
      </c>
      <c r="H543" s="1" t="s">
        <v>26</v>
      </c>
      <c r="I543" s="1" t="str">
        <f>IF(G543&lt;=$K$1,"Pagado","Pendiente")</f>
        <v>Pendiente</v>
      </c>
      <c r="J543" s="10"/>
    </row>
    <row r="544" spans="1:10" hidden="1">
      <c r="A544" s="2">
        <v>863502600</v>
      </c>
      <c r="B544" s="2">
        <v>25</v>
      </c>
      <c r="C544" s="8">
        <v>1914466.24</v>
      </c>
      <c r="D544" s="8">
        <v>3269113.36</v>
      </c>
      <c r="E544" s="8">
        <v>392293.6</v>
      </c>
      <c r="F544" s="8">
        <v>5575873.2000000002</v>
      </c>
      <c r="G544" s="7">
        <v>46404</v>
      </c>
      <c r="H544" s="1" t="s">
        <v>24</v>
      </c>
      <c r="I544" s="1" t="str">
        <f>IF(G544&lt;=$K$1,"Pagado","Pendiente")</f>
        <v>Pendiente</v>
      </c>
    </row>
    <row r="545" spans="1:9" hidden="1">
      <c r="A545" s="2">
        <v>23790</v>
      </c>
      <c r="B545" s="2">
        <v>22</v>
      </c>
      <c r="C545" s="8">
        <v>14698142.289618125</v>
      </c>
      <c r="D545" s="8">
        <v>8097091.8050472345</v>
      </c>
      <c r="E545" s="8">
        <v>971651.01660566812</v>
      </c>
      <c r="F545" s="8">
        <v>23766885.111271027</v>
      </c>
      <c r="G545" s="7">
        <v>46404</v>
      </c>
      <c r="H545" s="1" t="s">
        <v>31</v>
      </c>
      <c r="I545" s="1" t="str">
        <f>IF(G545&lt;=$K$1,"Pagado","Pendiente")</f>
        <v>Pendiente</v>
      </c>
    </row>
    <row r="546" spans="1:9" hidden="1">
      <c r="A546" s="2">
        <v>24004</v>
      </c>
      <c r="B546" s="2">
        <v>18</v>
      </c>
      <c r="C546" s="8">
        <v>1394542.75</v>
      </c>
      <c r="D546" s="8">
        <v>4379966.82</v>
      </c>
      <c r="E546" s="8">
        <v>526034.02</v>
      </c>
      <c r="F546" s="8">
        <v>6300543.5899999999</v>
      </c>
      <c r="G546" s="7">
        <v>46404</v>
      </c>
      <c r="H546" s="1" t="s">
        <v>31</v>
      </c>
      <c r="I546" s="1" t="str">
        <f>IF(G546&lt;=$K$1,"Pagado","Pendiente")</f>
        <v>Pendiente</v>
      </c>
    </row>
    <row r="547" spans="1:9" hidden="1">
      <c r="A547" s="2">
        <v>65210751</v>
      </c>
      <c r="B547" s="2">
        <v>31</v>
      </c>
      <c r="C547" s="8">
        <v>8958333.3300000001</v>
      </c>
      <c r="D547" s="8">
        <v>5706335.6200000001</v>
      </c>
      <c r="E547" s="8">
        <v>684760.27000000142</v>
      </c>
      <c r="F547" s="8">
        <v>15349429.220000001</v>
      </c>
      <c r="G547" s="7">
        <v>46405</v>
      </c>
      <c r="H547" s="1" t="s">
        <v>26</v>
      </c>
      <c r="I547" s="1" t="str">
        <f>IF(G547&lt;=$K$1,"Pagado","Pendiente")</f>
        <v>Pendiente</v>
      </c>
    </row>
    <row r="548" spans="1:9" hidden="1">
      <c r="A548" s="2">
        <v>23430</v>
      </c>
      <c r="B548" s="2">
        <v>30</v>
      </c>
      <c r="C548" s="8">
        <v>774624.97</v>
      </c>
      <c r="D548" s="8">
        <v>3814799.28</v>
      </c>
      <c r="E548" s="8">
        <v>457775.91</v>
      </c>
      <c r="F548" s="8">
        <v>5047200.16</v>
      </c>
      <c r="G548" s="7">
        <v>46406</v>
      </c>
      <c r="H548" s="1" t="s">
        <v>31</v>
      </c>
      <c r="I548" s="1" t="str">
        <f>IF(G548&lt;=$K$1,"Pagado","Pendiente")</f>
        <v>Pendiente</v>
      </c>
    </row>
    <row r="549" spans="1:9" hidden="1">
      <c r="A549" s="2">
        <v>23467</v>
      </c>
      <c r="B549" s="2">
        <v>29</v>
      </c>
      <c r="C549" s="8">
        <v>2904843.68</v>
      </c>
      <c r="D549" s="8">
        <v>14305497.279999999</v>
      </c>
      <c r="E549" s="8">
        <v>1716659.67</v>
      </c>
      <c r="F549" s="8">
        <v>18927000.629999999</v>
      </c>
      <c r="G549" s="7">
        <v>46406</v>
      </c>
      <c r="H549" s="1" t="s">
        <v>31</v>
      </c>
      <c r="I549" s="1" t="str">
        <f>IF(G549&lt;=$K$1,"Pagado","Pendiente")</f>
        <v>Pendiente</v>
      </c>
    </row>
    <row r="550" spans="1:9" hidden="1">
      <c r="A550" s="2">
        <v>394949</v>
      </c>
      <c r="B550" s="2">
        <v>25</v>
      </c>
      <c r="C550" s="8">
        <v>1283298.76</v>
      </c>
      <c r="D550" s="8">
        <v>3623018.53</v>
      </c>
      <c r="E550" s="8">
        <v>434762.21</v>
      </c>
      <c r="F550" s="8">
        <v>5341079.5</v>
      </c>
      <c r="G550" s="7">
        <v>46413</v>
      </c>
      <c r="H550" s="1" t="s">
        <v>30</v>
      </c>
      <c r="I550" s="1" t="str">
        <f>IF(G550&lt;=$K$1,"Pagado","Pendiente")</f>
        <v>Pendiente</v>
      </c>
    </row>
    <row r="551" spans="1:9" hidden="1">
      <c r="A551" s="2">
        <v>347916</v>
      </c>
      <c r="B551" s="2">
        <v>31</v>
      </c>
      <c r="C551" s="8">
        <v>3320175.2658467954</v>
      </c>
      <c r="D551" s="8">
        <v>5133008.5024126312</v>
      </c>
      <c r="E551" s="8">
        <v>615961.02028951573</v>
      </c>
      <c r="F551" s="8">
        <v>9069144.7885489427</v>
      </c>
      <c r="G551" s="7">
        <v>46414</v>
      </c>
      <c r="H551" s="1" t="s">
        <v>30</v>
      </c>
      <c r="I551" s="1" t="str">
        <f>IF(G551&lt;=$K$1,"Pagado","Pendiente")</f>
        <v>Pendiente</v>
      </c>
    </row>
    <row r="552" spans="1:9" hidden="1">
      <c r="A552" s="2">
        <v>2537844</v>
      </c>
      <c r="B552" s="2">
        <v>34</v>
      </c>
      <c r="C552" s="8">
        <v>2500000</v>
      </c>
      <c r="D552" s="8">
        <v>955479.41249999998</v>
      </c>
      <c r="E552" s="8">
        <v>114657.52949999999</v>
      </c>
      <c r="F552" s="8">
        <v>3570136.9420000003</v>
      </c>
      <c r="G552" s="7">
        <v>46414</v>
      </c>
      <c r="H552" s="1" t="s">
        <v>29</v>
      </c>
      <c r="I552" s="1" t="str">
        <f>IF(G552&lt;=$K$1,"Pagado","Pendiente")</f>
        <v>Pendiente</v>
      </c>
    </row>
    <row r="553" spans="1:9" hidden="1">
      <c r="A553" s="2">
        <v>843950300</v>
      </c>
      <c r="B553" s="2">
        <v>17</v>
      </c>
      <c r="C553" s="8">
        <v>2312311.71</v>
      </c>
      <c r="D553" s="8">
        <v>5463057.6900000004</v>
      </c>
      <c r="E553" s="8">
        <f>+F553-D553-C553</f>
        <v>655566.9299999997</v>
      </c>
      <c r="F553" s="8">
        <v>8430936.3300000001</v>
      </c>
      <c r="G553" s="7">
        <v>46080</v>
      </c>
      <c r="H553" s="1" t="s">
        <v>24</v>
      </c>
      <c r="I553" s="1" t="str">
        <f>IF(G553&lt;=$K$1,"Pagado","Pendiente")</f>
        <v>Pagado</v>
      </c>
    </row>
    <row r="554" spans="1:9">
      <c r="A554" s="2">
        <v>75472831</v>
      </c>
      <c r="B554" s="2">
        <v>19</v>
      </c>
      <c r="C554" s="8">
        <v>2083333.33</v>
      </c>
      <c r="D554" s="8">
        <v>2378082.19</v>
      </c>
      <c r="E554" s="8">
        <f>+F554-D554-C554</f>
        <v>285369.85999999987</v>
      </c>
      <c r="F554" s="8">
        <v>4746785.38</v>
      </c>
      <c r="G554" s="7">
        <v>46159</v>
      </c>
      <c r="H554" s="1" t="s">
        <v>26</v>
      </c>
      <c r="I554" s="1" t="str">
        <f>IF(G554&lt;=$K$1,"Pagado","Pendiente")</f>
        <v>Pendiente</v>
      </c>
    </row>
    <row r="555" spans="1:9" hidden="1">
      <c r="A555" s="2">
        <v>20466</v>
      </c>
      <c r="B555" s="2">
        <v>53</v>
      </c>
      <c r="C555" s="8">
        <v>754195.95296195021</v>
      </c>
      <c r="D555" s="8">
        <v>607965.83082483558</v>
      </c>
      <c r="E555" s="8">
        <f>+D555*0.12</f>
        <v>72955.899698980269</v>
      </c>
      <c r="F555" s="8">
        <f>+C555+D555+E555</f>
        <v>1435117.6834857659</v>
      </c>
      <c r="G555" s="7">
        <v>46418</v>
      </c>
      <c r="H555" s="1" t="s">
        <v>31</v>
      </c>
      <c r="I555" s="1" t="str">
        <f>IF(G555&lt;=$K$1,"Pagado","Pendiente")</f>
        <v>Pendiente</v>
      </c>
    </row>
    <row r="556" spans="1:9" hidden="1">
      <c r="A556" s="2">
        <v>66235635</v>
      </c>
      <c r="B556" s="2">
        <v>31</v>
      </c>
      <c r="C556" s="8">
        <v>7916666.6699999999</v>
      </c>
      <c r="D556" s="8">
        <v>4717465.75</v>
      </c>
      <c r="E556" s="8">
        <v>566095.8900000006</v>
      </c>
      <c r="F556" s="8">
        <v>13200228.310000001</v>
      </c>
      <c r="G556" s="7">
        <v>46420</v>
      </c>
      <c r="H556" s="1" t="s">
        <v>26</v>
      </c>
      <c r="I556" s="1" t="str">
        <f>IF(G556&lt;=$K$1,"Pagado","Pendiente")</f>
        <v>Pendiente</v>
      </c>
    </row>
    <row r="557" spans="1:9" hidden="1">
      <c r="A557" s="2">
        <v>22044</v>
      </c>
      <c r="B557" s="2">
        <v>42</v>
      </c>
      <c r="C557" s="8">
        <v>1092764.0209465816</v>
      </c>
      <c r="D557" s="8">
        <v>1639233.8299006664</v>
      </c>
      <c r="E557" s="8">
        <v>196708.05958807995</v>
      </c>
      <c r="F557" s="8">
        <v>2928705.9104353278</v>
      </c>
      <c r="G557" s="7">
        <v>46420</v>
      </c>
      <c r="H557" s="1" t="s">
        <v>31</v>
      </c>
      <c r="I557" s="1" t="str">
        <f>IF(G557&lt;=$K$1,"Pagado","Pendiente")</f>
        <v>Pendiente</v>
      </c>
    </row>
    <row r="558" spans="1:9" hidden="1">
      <c r="A558" s="2">
        <v>119980</v>
      </c>
      <c r="B558" s="2">
        <v>26</v>
      </c>
      <c r="C558" s="8">
        <v>14166666.67</v>
      </c>
      <c r="D558" s="8">
        <v>13475799.09</v>
      </c>
      <c r="E558" s="8">
        <f>+F558-D558-C558</f>
        <v>1617095.8899999987</v>
      </c>
      <c r="F558" s="8">
        <v>29259561.649999999</v>
      </c>
      <c r="G558" s="7">
        <v>46391</v>
      </c>
      <c r="H558" s="1" t="s">
        <v>26</v>
      </c>
      <c r="I558" s="1" t="str">
        <f>IF(G558&lt;=$K$1,"Pagado","Pendiente")</f>
        <v>Pendiente</v>
      </c>
    </row>
    <row r="559" spans="1:9" hidden="1">
      <c r="A559" s="2">
        <v>23700</v>
      </c>
      <c r="B559" s="2">
        <v>24</v>
      </c>
      <c r="C559" s="8">
        <v>15565108.52</v>
      </c>
      <c r="D559" s="8">
        <v>7056788.71</v>
      </c>
      <c r="E559" s="8">
        <v>846814.64</v>
      </c>
      <c r="F559" s="8">
        <v>23468711.870000001</v>
      </c>
      <c r="G559" s="7">
        <v>46425</v>
      </c>
      <c r="H559" s="1" t="s">
        <v>31</v>
      </c>
      <c r="I559" s="1" t="str">
        <f>IF(G559&lt;=$K$1,"Pagado","Pendiente")</f>
        <v>Pendiente</v>
      </c>
    </row>
    <row r="560" spans="1:9" hidden="1">
      <c r="A560" s="2">
        <v>20828</v>
      </c>
      <c r="B560" s="2">
        <v>50</v>
      </c>
      <c r="C560" s="8">
        <v>903801.53874579316</v>
      </c>
      <c r="D560" s="8">
        <v>879928.98685837968</v>
      </c>
      <c r="E560" s="8">
        <f>+D560*0.105</f>
        <v>92392.543620129858</v>
      </c>
      <c r="F560" s="8">
        <f>+C560+D560+E560</f>
        <v>1876123.0692243027</v>
      </c>
      <c r="G560" s="7">
        <v>46430</v>
      </c>
      <c r="H560" s="1" t="s">
        <v>31</v>
      </c>
      <c r="I560" s="1" t="str">
        <f>IF(G560&lt;=$K$1,"Pagado","Pendiente")</f>
        <v>Pendiente</v>
      </c>
    </row>
    <row r="561" spans="1:10" hidden="1">
      <c r="A561" s="2">
        <v>23996</v>
      </c>
      <c r="B561" s="2">
        <v>19</v>
      </c>
      <c r="C561" s="8">
        <v>1373104.72</v>
      </c>
      <c r="D561" s="8">
        <v>9183697.2100000009</v>
      </c>
      <c r="E561" s="8">
        <v>1102962.04</v>
      </c>
      <c r="F561" s="8">
        <f>+C561+D561+E561</f>
        <v>11659763.970000003</v>
      </c>
      <c r="G561" s="7">
        <v>46431</v>
      </c>
      <c r="H561" s="1" t="s">
        <v>31</v>
      </c>
      <c r="I561" s="1" t="str">
        <f>IF(G561&lt;=$K$1,"Pagado","Pendiente")</f>
        <v>Pendiente</v>
      </c>
    </row>
    <row r="562" spans="1:10" hidden="1">
      <c r="A562" s="2">
        <v>927328</v>
      </c>
      <c r="B562" s="2">
        <v>28</v>
      </c>
      <c r="C562" s="8">
        <v>6235364.6929523097</v>
      </c>
      <c r="D562" s="8">
        <v>7811654.9505136115</v>
      </c>
      <c r="E562" s="8">
        <v>937398.59406163334</v>
      </c>
      <c r="F562" s="8">
        <v>14984418.237527555</v>
      </c>
      <c r="G562" s="7">
        <v>46435</v>
      </c>
      <c r="H562" s="1" t="s">
        <v>32</v>
      </c>
      <c r="I562" s="1" t="str">
        <f>IF(G562&lt;=$K$1,"Pagado","Pendiente")</f>
        <v>Pendiente</v>
      </c>
    </row>
    <row r="563" spans="1:10">
      <c r="A563" s="2">
        <v>2537844</v>
      </c>
      <c r="B563" s="2">
        <v>26</v>
      </c>
      <c r="C563" s="8">
        <v>2500000</v>
      </c>
      <c r="D563" s="8">
        <v>1465068.4325000001</v>
      </c>
      <c r="E563" s="8">
        <v>175808.21189999999</v>
      </c>
      <c r="F563" s="8">
        <v>4140876.6444000001</v>
      </c>
      <c r="G563" s="7">
        <v>46169</v>
      </c>
      <c r="H563" s="1" t="s">
        <v>29</v>
      </c>
      <c r="I563" s="1" t="str">
        <f>IF(G563&lt;=$K$1,"Pagado","Pendiente")</f>
        <v>Pendiente</v>
      </c>
      <c r="J563" s="10"/>
    </row>
    <row r="564" spans="1:10" hidden="1">
      <c r="A564" s="2">
        <v>863502400</v>
      </c>
      <c r="B564" s="2">
        <v>18</v>
      </c>
      <c r="C564" s="8">
        <v>3051864.89</v>
      </c>
      <c r="D564" s="8">
        <v>6969722.3399999999</v>
      </c>
      <c r="E564" s="8">
        <v>836366.69</v>
      </c>
      <c r="F564" s="8">
        <v>10857953.92</v>
      </c>
      <c r="G564" s="7">
        <v>46190</v>
      </c>
      <c r="H564" s="1" t="s">
        <v>24</v>
      </c>
      <c r="I564" s="1" t="str">
        <f>IF(G564&lt;=$K$1,"Pagado","Pendiente")</f>
        <v>Pendiente</v>
      </c>
    </row>
    <row r="565" spans="1:10" hidden="1">
      <c r="A565" s="2">
        <v>863502600</v>
      </c>
      <c r="B565" s="2">
        <v>26</v>
      </c>
      <c r="C565" s="8">
        <v>1967966</v>
      </c>
      <c r="D565" s="8">
        <v>3215613.6</v>
      </c>
      <c r="E565" s="8">
        <v>385873.63</v>
      </c>
      <c r="F565" s="8">
        <v>5569453.2300000004</v>
      </c>
      <c r="G565" s="7">
        <v>46435</v>
      </c>
      <c r="H565" s="1" t="s">
        <v>24</v>
      </c>
      <c r="I565" s="1" t="str">
        <f>IF(G565&lt;=$K$1,"Pagado","Pendiente")</f>
        <v>Pendiente</v>
      </c>
    </row>
    <row r="566" spans="1:10" hidden="1">
      <c r="A566" s="2">
        <v>23790</v>
      </c>
      <c r="B566" s="2">
        <v>23</v>
      </c>
      <c r="C566" s="8">
        <v>15134493.388841163</v>
      </c>
      <c r="D566" s="8">
        <v>7660740.7058241963</v>
      </c>
      <c r="E566" s="8">
        <v>919288.88469890354</v>
      </c>
      <c r="F566" s="8">
        <v>23714522.979364265</v>
      </c>
      <c r="G566" s="7">
        <v>46435</v>
      </c>
      <c r="H566" s="1" t="s">
        <v>31</v>
      </c>
      <c r="I566" s="1" t="str">
        <f>IF(G566&lt;=$K$1,"Pagado","Pendiente")</f>
        <v>Pendiente</v>
      </c>
    </row>
    <row r="567" spans="1:10" hidden="1">
      <c r="A567" s="2">
        <v>24004</v>
      </c>
      <c r="B567" s="2">
        <v>19</v>
      </c>
      <c r="C567" s="8">
        <v>1441393.66</v>
      </c>
      <c r="D567" s="8">
        <v>4333115.91</v>
      </c>
      <c r="E567" s="8">
        <v>520407.22</v>
      </c>
      <c r="F567" s="8">
        <v>6294916.79</v>
      </c>
      <c r="G567" s="7">
        <v>46435</v>
      </c>
      <c r="H567" s="1" t="s">
        <v>31</v>
      </c>
      <c r="I567" s="1" t="str">
        <f>IF(G567&lt;=$K$1,"Pagado","Pendiente")</f>
        <v>Pendiente</v>
      </c>
    </row>
    <row r="568" spans="1:10" hidden="1">
      <c r="A568" s="2">
        <v>65210751</v>
      </c>
      <c r="B568" s="2">
        <v>32</v>
      </c>
      <c r="C568" s="8">
        <v>8958333.3300000001</v>
      </c>
      <c r="D568" s="8">
        <v>5516124.4299999997</v>
      </c>
      <c r="E568" s="8">
        <v>661934.93999999948</v>
      </c>
      <c r="F568" s="8">
        <v>15136392.699999999</v>
      </c>
      <c r="G568" s="7">
        <v>46436</v>
      </c>
      <c r="H568" s="1" t="s">
        <v>26</v>
      </c>
      <c r="I568" s="1" t="str">
        <f>IF(G568&lt;=$K$1,"Pagado","Pendiente")</f>
        <v>Pendiente</v>
      </c>
    </row>
    <row r="569" spans="1:10" hidden="1">
      <c r="A569" s="2">
        <v>23430</v>
      </c>
      <c r="B569" s="2">
        <v>31</v>
      </c>
      <c r="C569" s="8">
        <v>800092.09</v>
      </c>
      <c r="D569" s="8">
        <v>3789332.16</v>
      </c>
      <c r="E569" s="8">
        <v>454719.86</v>
      </c>
      <c r="F569" s="8">
        <v>5044144.1100000003</v>
      </c>
      <c r="G569" s="7">
        <v>46437</v>
      </c>
      <c r="H569" s="1" t="s">
        <v>31</v>
      </c>
      <c r="I569" s="1" t="str">
        <f>IF(G569&lt;=$K$1,"Pagado","Pendiente")</f>
        <v>Pendiente</v>
      </c>
    </row>
    <row r="570" spans="1:10" hidden="1">
      <c r="A570" s="2">
        <v>23467</v>
      </c>
      <c r="B570" s="2">
        <v>30</v>
      </c>
      <c r="C570" s="8">
        <v>3000345.39</v>
      </c>
      <c r="D570" s="8">
        <v>14209995.57</v>
      </c>
      <c r="E570" s="8">
        <v>1705199.46</v>
      </c>
      <c r="F570" s="8">
        <v>18915540.420000002</v>
      </c>
      <c r="G570" s="7">
        <v>46437</v>
      </c>
      <c r="H570" s="1" t="s">
        <v>31</v>
      </c>
      <c r="I570" s="1" t="str">
        <f>IF(G570&lt;=$K$1,"Pagado","Pendiente")</f>
        <v>Pendiente</v>
      </c>
    </row>
    <row r="571" spans="1:10" hidden="1">
      <c r="A571" s="2">
        <v>394949</v>
      </c>
      <c r="B571" s="2">
        <v>26</v>
      </c>
      <c r="C571" s="8">
        <v>1319658.8899999999</v>
      </c>
      <c r="D571" s="8">
        <v>3586658.4</v>
      </c>
      <c r="E571" s="8">
        <v>430399</v>
      </c>
      <c r="F571" s="8">
        <v>5336716.29</v>
      </c>
      <c r="G571" s="7">
        <v>46444</v>
      </c>
      <c r="H571" s="1" t="s">
        <v>30</v>
      </c>
      <c r="I571" s="1" t="str">
        <f>IF(G571&lt;=$K$1,"Pagado","Pendiente")</f>
        <v>Pendiente</v>
      </c>
    </row>
    <row r="572" spans="1:10" hidden="1">
      <c r="A572" s="2">
        <v>347916</v>
      </c>
      <c r="B572" s="2">
        <v>32</v>
      </c>
      <c r="C572" s="8">
        <v>3394879.2093283487</v>
      </c>
      <c r="D572" s="8">
        <v>5058304.5589310778</v>
      </c>
      <c r="E572" s="8">
        <v>606996.54707172932</v>
      </c>
      <c r="F572" s="8">
        <v>9060180.3153311554</v>
      </c>
      <c r="G572" s="7">
        <v>46445</v>
      </c>
      <c r="H572" s="1" t="s">
        <v>30</v>
      </c>
      <c r="I572" s="1" t="str">
        <f>IF(G572&lt;=$K$1,"Pagado","Pendiente")</f>
        <v>Pendiente</v>
      </c>
    </row>
    <row r="573" spans="1:10" hidden="1">
      <c r="A573" s="2">
        <v>2537844</v>
      </c>
      <c r="B573" s="2">
        <v>35</v>
      </c>
      <c r="C573" s="8">
        <v>2500000</v>
      </c>
      <c r="D573" s="8">
        <v>891780.78500000003</v>
      </c>
      <c r="E573" s="8">
        <v>107013.6942</v>
      </c>
      <c r="F573" s="8">
        <v>3498794.4791999999</v>
      </c>
      <c r="G573" s="7">
        <v>46445</v>
      </c>
      <c r="H573" s="1" t="s">
        <v>29</v>
      </c>
      <c r="I573" s="1" t="str">
        <f>IF(G573&lt;=$K$1,"Pagado","Pendiente")</f>
        <v>Pendiente</v>
      </c>
    </row>
    <row r="574" spans="1:10" hidden="1">
      <c r="A574" s="2">
        <v>843950300</v>
      </c>
      <c r="B574" s="2">
        <v>18</v>
      </c>
      <c r="C574" s="8">
        <v>2376929.2599999998</v>
      </c>
      <c r="D574" s="8">
        <v>5398440.1399999997</v>
      </c>
      <c r="E574" s="8">
        <f>+F574-D574-C574</f>
        <v>647812.81000000145</v>
      </c>
      <c r="F574" s="8">
        <v>8423182.2100000009</v>
      </c>
      <c r="G574" s="7">
        <v>46108</v>
      </c>
      <c r="H574" s="1" t="s">
        <v>24</v>
      </c>
      <c r="I574" s="1" t="str">
        <f>IF(G574&lt;=$K$1,"Pagado","Pendiente")</f>
        <v>Pagado</v>
      </c>
    </row>
    <row r="575" spans="1:10" hidden="1">
      <c r="A575" s="2">
        <v>31295</v>
      </c>
      <c r="B575" s="2">
        <v>18</v>
      </c>
      <c r="C575" s="8">
        <v>2261096.6</v>
      </c>
      <c r="D575" s="8">
        <v>4998923.62</v>
      </c>
      <c r="E575" s="8">
        <v>599870.82999999996</v>
      </c>
      <c r="F575" s="8">
        <v>7859891.0499999998</v>
      </c>
      <c r="G575" s="7">
        <v>46200</v>
      </c>
      <c r="H575" s="1" t="s">
        <v>35</v>
      </c>
      <c r="I575" s="1" t="str">
        <f>IF(G575&lt;=$K$1,"Pagado","Pendiente")</f>
        <v>Pendiente</v>
      </c>
    </row>
    <row r="576" spans="1:10" hidden="1">
      <c r="A576" s="2">
        <v>20466</v>
      </c>
      <c r="B576" s="2">
        <v>54</v>
      </c>
      <c r="C576" s="8">
        <v>776821.83155080886</v>
      </c>
      <c r="D576" s="8">
        <v>585339.95223597693</v>
      </c>
      <c r="E576" s="8">
        <f>+D576*0.12</f>
        <v>70240.79426831723</v>
      </c>
      <c r="F576" s="8">
        <f>+C576+D576+E576</f>
        <v>1432402.5780551031</v>
      </c>
      <c r="G576" s="7">
        <v>46446</v>
      </c>
      <c r="H576" s="1" t="s">
        <v>31</v>
      </c>
      <c r="I576" s="1" t="str">
        <f>IF(G576&lt;=$K$1,"Pagado","Pendiente")</f>
        <v>Pendiente</v>
      </c>
    </row>
    <row r="577" spans="1:9" hidden="1">
      <c r="A577" s="2">
        <v>66235635</v>
      </c>
      <c r="B577" s="2">
        <v>32</v>
      </c>
      <c r="C577" s="8">
        <v>7916666.6699999999</v>
      </c>
      <c r="D577" s="8">
        <v>4402968.04</v>
      </c>
      <c r="E577" s="8">
        <v>528356.15999999829</v>
      </c>
      <c r="F577" s="8">
        <v>12847990.869999999</v>
      </c>
      <c r="G577" s="7">
        <v>46448</v>
      </c>
      <c r="H577" s="1" t="s">
        <v>26</v>
      </c>
      <c r="I577" s="1" t="str">
        <f>IF(G577&lt;=$K$1,"Pagado","Pendiente")</f>
        <v>Pendiente</v>
      </c>
    </row>
    <row r="578" spans="1:9" hidden="1">
      <c r="A578" s="2">
        <v>22044</v>
      </c>
      <c r="B578" s="2">
        <v>43</v>
      </c>
      <c r="C578" s="8">
        <v>1125546.9415749791</v>
      </c>
      <c r="D578" s="8">
        <v>1606450.9092722689</v>
      </c>
      <c r="E578" s="8">
        <v>192774.10911267227</v>
      </c>
      <c r="F578" s="8">
        <v>2924771.9599599205</v>
      </c>
      <c r="G578" s="7">
        <v>46448</v>
      </c>
      <c r="H578" s="1" t="s">
        <v>31</v>
      </c>
      <c r="I578" s="1" t="str">
        <f>IF(G578&lt;=$K$1,"Pagado","Pendiente")</f>
        <v>Pendiente</v>
      </c>
    </row>
    <row r="579" spans="1:9" hidden="1">
      <c r="A579" s="2">
        <v>119980</v>
      </c>
      <c r="B579" s="2">
        <v>27</v>
      </c>
      <c r="C579" s="8">
        <v>14166666.67</v>
      </c>
      <c r="D579" s="8">
        <v>13090776.25</v>
      </c>
      <c r="E579" s="8">
        <f>+F579-D579-C579</f>
        <v>1570893.1500000004</v>
      </c>
      <c r="F579" s="8">
        <v>28828336.07</v>
      </c>
      <c r="G579" s="7">
        <v>46422</v>
      </c>
      <c r="H579" s="1" t="s">
        <v>26</v>
      </c>
      <c r="I579" s="1" t="str">
        <f>IF(G579&lt;=$K$1,"Pagado","Pendiente")</f>
        <v>Pendiente</v>
      </c>
    </row>
    <row r="580" spans="1:9" hidden="1">
      <c r="A580" s="2">
        <v>23700</v>
      </c>
      <c r="B580" s="2">
        <v>25</v>
      </c>
      <c r="C580" s="8">
        <v>16019268.529999999</v>
      </c>
      <c r="D580" s="8">
        <v>6602628.7000000002</v>
      </c>
      <c r="E580" s="8">
        <v>792315.44</v>
      </c>
      <c r="F580" s="8">
        <v>23414212.670000002</v>
      </c>
      <c r="G580" s="7">
        <v>46453</v>
      </c>
      <c r="H580" s="1" t="s">
        <v>31</v>
      </c>
      <c r="I580" s="1" t="str">
        <f>IF(G580&lt;=$K$1,"Pagado","Pendiente")</f>
        <v>Pendiente</v>
      </c>
    </row>
    <row r="581" spans="1:9" hidden="1">
      <c r="A581" s="2">
        <v>20828</v>
      </c>
      <c r="B581" s="2">
        <v>51</v>
      </c>
      <c r="C581" s="8">
        <v>930915.5849081669</v>
      </c>
      <c r="D581" s="8">
        <v>852814.94069600594</v>
      </c>
      <c r="E581" s="8">
        <f>+D581*0.105</f>
        <v>89545.568773080624</v>
      </c>
      <c r="F581" s="8">
        <f>+C581+D581+E581</f>
        <v>1873276.0943772534</v>
      </c>
      <c r="G581" s="7">
        <v>46458</v>
      </c>
      <c r="H581" s="1" t="s">
        <v>31</v>
      </c>
      <c r="I581" s="1" t="str">
        <f>IF(G581&lt;=$K$1,"Pagado","Pendiente")</f>
        <v>Pendiente</v>
      </c>
    </row>
    <row r="582" spans="1:9" hidden="1">
      <c r="A582" s="2">
        <v>23996</v>
      </c>
      <c r="B582" s="2">
        <v>20</v>
      </c>
      <c r="C582" s="8">
        <v>1416202.33</v>
      </c>
      <c r="D582" s="8">
        <v>9140599.5999999996</v>
      </c>
      <c r="E582" s="8">
        <v>1097786.01</v>
      </c>
      <c r="F582" s="8">
        <f>+C582+D582+E582</f>
        <v>11654587.939999999</v>
      </c>
      <c r="G582" s="7">
        <v>46459</v>
      </c>
      <c r="H582" s="1" t="s">
        <v>31</v>
      </c>
      <c r="I582" s="1" t="str">
        <f>IF(G582&lt;=$K$1,"Pagado","Pendiente")</f>
        <v>Pendiente</v>
      </c>
    </row>
    <row r="583" spans="1:9" hidden="1">
      <c r="A583" s="2">
        <v>927328</v>
      </c>
      <c r="B583" s="2">
        <v>29</v>
      </c>
      <c r="C583" s="8">
        <v>6390729.1965517057</v>
      </c>
      <c r="D583" s="8">
        <v>7656290.4469142156</v>
      </c>
      <c r="E583" s="8">
        <v>918754.85362970585</v>
      </c>
      <c r="F583" s="8">
        <v>14965774.497095628</v>
      </c>
      <c r="G583" s="7">
        <v>46463</v>
      </c>
      <c r="H583" s="1" t="s">
        <v>32</v>
      </c>
      <c r="I583" s="1" t="str">
        <f>IF(G583&lt;=$K$1,"Pagado","Pendiente")</f>
        <v>Pendiente</v>
      </c>
    </row>
    <row r="584" spans="1:9" hidden="1">
      <c r="A584" s="2">
        <v>75472831</v>
      </c>
      <c r="B584" s="2">
        <v>20</v>
      </c>
      <c r="C584" s="8">
        <v>2083333.33</v>
      </c>
      <c r="D584" s="8">
        <v>2246575.34</v>
      </c>
      <c r="E584" s="8">
        <f>+F584-D584-C584</f>
        <v>269589.04000000004</v>
      </c>
      <c r="F584" s="8">
        <v>4599497.71</v>
      </c>
      <c r="G584" s="7">
        <v>46190</v>
      </c>
      <c r="H584" s="1" t="s">
        <v>26</v>
      </c>
      <c r="I584" s="1" t="str">
        <f>IF(G584&lt;=$K$1,"Pagado","Pendiente")</f>
        <v>Pendiente</v>
      </c>
    </row>
    <row r="585" spans="1:9" hidden="1">
      <c r="A585" s="2">
        <v>863502400</v>
      </c>
      <c r="B585" s="2">
        <v>19</v>
      </c>
      <c r="C585" s="8">
        <v>3137149.25</v>
      </c>
      <c r="D585" s="8">
        <v>6884437.9800000004</v>
      </c>
      <c r="E585" s="8">
        <v>826132.56</v>
      </c>
      <c r="F585" s="8">
        <v>10847719.789999999</v>
      </c>
      <c r="G585" s="7">
        <v>46220</v>
      </c>
      <c r="H585" s="1" t="s">
        <v>24</v>
      </c>
      <c r="I585" s="1" t="str">
        <f>IF(G585&lt;=$K$1,"Pagado","Pendiente")</f>
        <v>Pendiente</v>
      </c>
    </row>
    <row r="586" spans="1:9" hidden="1">
      <c r="A586" s="2">
        <v>863502600</v>
      </c>
      <c r="B586" s="2">
        <v>27</v>
      </c>
      <c r="C586" s="8">
        <v>2022960.81</v>
      </c>
      <c r="D586" s="8">
        <v>3160618.79</v>
      </c>
      <c r="E586" s="8">
        <v>379274.25</v>
      </c>
      <c r="F586" s="8">
        <v>5562853.8499999996</v>
      </c>
      <c r="G586" s="7">
        <v>46463</v>
      </c>
      <c r="H586" s="1" t="s">
        <v>24</v>
      </c>
      <c r="I586" s="1" t="str">
        <f>IF(G586&lt;=$K$1,"Pagado","Pendiente")</f>
        <v>Pendiente</v>
      </c>
    </row>
    <row r="587" spans="1:9" hidden="1">
      <c r="A587" s="2">
        <v>23790</v>
      </c>
      <c r="B587" s="2">
        <v>24</v>
      </c>
      <c r="C587" s="8">
        <v>15583798.661322385</v>
      </c>
      <c r="D587" s="8">
        <v>7211435.4333429746</v>
      </c>
      <c r="E587" s="8">
        <v>865372.25200115691</v>
      </c>
      <c r="F587" s="8">
        <v>23660606.346666515</v>
      </c>
      <c r="G587" s="7">
        <v>46463</v>
      </c>
      <c r="H587" s="1" t="s">
        <v>31</v>
      </c>
      <c r="I587" s="1" t="str">
        <f>IF(G587&lt;=$K$1,"Pagado","Pendiente")</f>
        <v>Pendiente</v>
      </c>
    </row>
    <row r="588" spans="1:9" s="10" customFormat="1" hidden="1">
      <c r="A588" s="2">
        <v>75472831</v>
      </c>
      <c r="B588" s="2">
        <v>21</v>
      </c>
      <c r="C588" s="8">
        <v>2083333.33</v>
      </c>
      <c r="D588" s="8">
        <v>2191780.8199999998</v>
      </c>
      <c r="E588" s="8">
        <f>+F588-D588-C588</f>
        <v>263013.69999999972</v>
      </c>
      <c r="F588" s="8">
        <v>4538127.8499999996</v>
      </c>
      <c r="G588" s="7">
        <v>46220</v>
      </c>
      <c r="H588" s="1" t="s">
        <v>26</v>
      </c>
      <c r="I588" s="1" t="str">
        <f>IF(G588&lt;=$K$1,"Pagado","Pendiente")</f>
        <v>Pendiente</v>
      </c>
    </row>
    <row r="589" spans="1:9" s="10" customFormat="1" hidden="1">
      <c r="A589" s="2">
        <v>75472831</v>
      </c>
      <c r="B589" s="2">
        <v>22</v>
      </c>
      <c r="C589" s="8">
        <v>2083333.33</v>
      </c>
      <c r="D589" s="8">
        <v>2208219.1800000002</v>
      </c>
      <c r="E589" s="8">
        <f>+F589-D589-C589</f>
        <v>264986.29999999935</v>
      </c>
      <c r="F589" s="8">
        <v>4556538.8099999996</v>
      </c>
      <c r="G589" s="7">
        <v>46251</v>
      </c>
      <c r="H589" s="1" t="s">
        <v>26</v>
      </c>
      <c r="I589" s="1" t="str">
        <f>IF(G589&lt;=$K$1,"Pagado","Pendiente")</f>
        <v>Pendiente</v>
      </c>
    </row>
    <row r="590" spans="1:9" s="10" customFormat="1" hidden="1">
      <c r="A590" s="2">
        <v>75472831</v>
      </c>
      <c r="B590" s="2">
        <v>23</v>
      </c>
      <c r="C590" s="8">
        <v>2083333.33</v>
      </c>
      <c r="D590" s="8">
        <v>2151598.17</v>
      </c>
      <c r="E590" s="8">
        <f>+F590-D590-C590</f>
        <v>258191.78000000026</v>
      </c>
      <c r="F590" s="8">
        <v>4493123.28</v>
      </c>
      <c r="G590" s="7">
        <v>46282</v>
      </c>
      <c r="H590" s="1" t="s">
        <v>26</v>
      </c>
      <c r="I590" s="1" t="str">
        <f>IF(G590&lt;=$K$1,"Pagado","Pendiente")</f>
        <v>Pendiente</v>
      </c>
    </row>
    <row r="591" spans="1:9" s="10" customFormat="1" hidden="1">
      <c r="A591" s="2">
        <v>75472831</v>
      </c>
      <c r="B591" s="2">
        <v>24</v>
      </c>
      <c r="C591" s="8">
        <v>2083333.33</v>
      </c>
      <c r="D591" s="8">
        <v>2162557.08</v>
      </c>
      <c r="E591" s="8">
        <f>+F591-D591-C591</f>
        <v>259506.84999999963</v>
      </c>
      <c r="F591" s="8">
        <v>4505397.26</v>
      </c>
      <c r="G591" s="7">
        <v>46312</v>
      </c>
      <c r="H591" s="1" t="s">
        <v>26</v>
      </c>
      <c r="I591" s="1" t="str">
        <f>IF(G591&lt;=$K$1,"Pagado","Pendiente")</f>
        <v>Pendiente</v>
      </c>
    </row>
    <row r="592" spans="1:9" s="10" customFormat="1" hidden="1">
      <c r="A592" s="2">
        <v>75472831</v>
      </c>
      <c r="B592" s="2">
        <v>25</v>
      </c>
      <c r="C592" s="8">
        <v>2083333.33</v>
      </c>
      <c r="D592" s="8">
        <v>1906849.32</v>
      </c>
      <c r="E592" s="8">
        <f>+F592-D592-C592</f>
        <v>228821.91999999993</v>
      </c>
      <c r="F592" s="8">
        <v>4219004.57</v>
      </c>
      <c r="G592" s="7">
        <v>46343</v>
      </c>
      <c r="H592" s="1" t="s">
        <v>26</v>
      </c>
      <c r="I592" s="1" t="str">
        <f>IF(G592&lt;=$K$1,"Pagado","Pendiente")</f>
        <v>Pendiente</v>
      </c>
    </row>
    <row r="593" spans="1:9" s="10" customFormat="1" hidden="1">
      <c r="A593" s="2">
        <v>75472831</v>
      </c>
      <c r="B593" s="2">
        <v>26</v>
      </c>
      <c r="C593" s="8">
        <v>2083333.33</v>
      </c>
      <c r="D593" s="8">
        <v>1917808.22</v>
      </c>
      <c r="E593" s="8">
        <f>+F593-D593-C593</f>
        <v>230136.98000000045</v>
      </c>
      <c r="F593" s="8">
        <v>4231278.53</v>
      </c>
      <c r="G593" s="7">
        <v>46373</v>
      </c>
      <c r="H593" s="1" t="s">
        <v>26</v>
      </c>
      <c r="I593" s="1" t="str">
        <f>IF(G593&lt;=$K$1,"Pagado","Pendiente")</f>
        <v>Pendiente</v>
      </c>
    </row>
    <row r="594" spans="1:9" s="10" customFormat="1" hidden="1">
      <c r="A594" s="2">
        <v>75472831</v>
      </c>
      <c r="B594" s="2">
        <v>27</v>
      </c>
      <c r="C594" s="8">
        <v>2083333.33</v>
      </c>
      <c r="D594" s="8">
        <v>1987214.61</v>
      </c>
      <c r="E594" s="8">
        <f>+F594-D594-C594</f>
        <v>238465.75</v>
      </c>
      <c r="F594" s="8">
        <v>4309013.6900000004</v>
      </c>
      <c r="G594" s="7">
        <v>46404</v>
      </c>
      <c r="H594" s="1" t="s">
        <v>26</v>
      </c>
      <c r="I594" s="1" t="str">
        <f>IF(G594&lt;=$K$1,"Pagado","Pendiente")</f>
        <v>Pendiente</v>
      </c>
    </row>
    <row r="595" spans="1:9" hidden="1">
      <c r="A595" s="2">
        <v>119980</v>
      </c>
      <c r="B595" s="2">
        <v>28</v>
      </c>
      <c r="C595" s="8">
        <v>14166666.67</v>
      </c>
      <c r="D595" s="8">
        <v>11476164.380000001</v>
      </c>
      <c r="E595" s="8">
        <f>+F595-D595-C595</f>
        <v>1377139.7300000004</v>
      </c>
      <c r="F595" s="8">
        <v>27019970.780000001</v>
      </c>
      <c r="G595" s="7">
        <v>46450</v>
      </c>
      <c r="H595" s="1" t="s">
        <v>26</v>
      </c>
      <c r="I595" s="1" t="str">
        <f>IF(G595&lt;=$K$1,"Pagado","Pendiente")</f>
        <v>Pendiente</v>
      </c>
    </row>
    <row r="596" spans="1:9" hidden="1">
      <c r="A596" s="2">
        <v>75472831</v>
      </c>
      <c r="B596" s="2">
        <v>28</v>
      </c>
      <c r="C596" s="8">
        <v>2083333.33</v>
      </c>
      <c r="D596" s="8">
        <v>1808219.18</v>
      </c>
      <c r="E596" s="8">
        <f>+F596-D596-C596</f>
        <v>216986.29999999981</v>
      </c>
      <c r="F596" s="8">
        <v>4108538.81</v>
      </c>
      <c r="G596" s="7">
        <v>46435</v>
      </c>
      <c r="H596" s="1" t="s">
        <v>26</v>
      </c>
      <c r="I596" s="1" t="str">
        <f>IF(G596&lt;=$K$1,"Pagado","Pendiente")</f>
        <v>Pendiente</v>
      </c>
    </row>
    <row r="597" spans="1:9" hidden="1">
      <c r="A597" s="2">
        <v>75472831</v>
      </c>
      <c r="B597" s="2">
        <v>29</v>
      </c>
      <c r="C597" s="8">
        <v>2083333.33</v>
      </c>
      <c r="D597" s="8">
        <v>1636529.68</v>
      </c>
      <c r="E597" s="8">
        <f>+F597-D597-C597</f>
        <v>196383.5700000003</v>
      </c>
      <c r="F597" s="8">
        <v>3916246.58</v>
      </c>
      <c r="G597" s="7">
        <v>46463</v>
      </c>
      <c r="H597" s="1" t="s">
        <v>26</v>
      </c>
      <c r="I597" s="1" t="str">
        <f>IF(G597&lt;=$K$1,"Pagado","Pendiente")</f>
        <v>Pendiente</v>
      </c>
    </row>
    <row r="598" spans="1:9" hidden="1">
      <c r="A598" s="2">
        <v>24004</v>
      </c>
      <c r="B598" s="2">
        <v>20</v>
      </c>
      <c r="C598" s="8">
        <v>1489818.56</v>
      </c>
      <c r="D598" s="8">
        <v>4284691.01</v>
      </c>
      <c r="E598" s="8">
        <v>514591.4</v>
      </c>
      <c r="F598" s="8">
        <v>6289100.9699999997</v>
      </c>
      <c r="G598" s="7">
        <v>46463</v>
      </c>
      <c r="H598" s="1" t="s">
        <v>31</v>
      </c>
      <c r="I598" s="1" t="str">
        <f>IF(G598&lt;=$K$1,"Pagado","Pendiente")</f>
        <v>Pendiente</v>
      </c>
    </row>
    <row r="599" spans="1:9" hidden="1">
      <c r="A599" s="2">
        <v>65210751</v>
      </c>
      <c r="B599" s="2">
        <v>33</v>
      </c>
      <c r="C599" s="8">
        <v>8958333.3300000001</v>
      </c>
      <c r="D599" s="8">
        <v>4810502.28</v>
      </c>
      <c r="E599" s="8">
        <v>577260.27000000142</v>
      </c>
      <c r="F599" s="8">
        <v>14346095.880000001</v>
      </c>
      <c r="G599" s="7">
        <v>46464</v>
      </c>
      <c r="H599" s="1" t="s">
        <v>26</v>
      </c>
      <c r="I599" s="1" t="str">
        <f>IF(G599&lt;=$K$1,"Pagado","Pendiente")</f>
        <v>Pendiente</v>
      </c>
    </row>
    <row r="600" spans="1:9" hidden="1">
      <c r="A600" s="2">
        <v>23430</v>
      </c>
      <c r="B600" s="2">
        <v>32</v>
      </c>
      <c r="C600" s="8">
        <v>826396.49</v>
      </c>
      <c r="D600" s="8">
        <v>3763027.76</v>
      </c>
      <c r="E600" s="8">
        <v>451563.33</v>
      </c>
      <c r="F600" s="8">
        <v>5040987.58</v>
      </c>
      <c r="G600" s="7">
        <v>46465</v>
      </c>
      <c r="H600" s="1" t="s">
        <v>31</v>
      </c>
      <c r="I600" s="1" t="str">
        <f>IF(G600&lt;=$K$1,"Pagado","Pendiente")</f>
        <v>Pendiente</v>
      </c>
    </row>
    <row r="601" spans="1:9" hidden="1">
      <c r="A601" s="2">
        <v>23467</v>
      </c>
      <c r="B601" s="2">
        <v>31</v>
      </c>
      <c r="C601" s="8">
        <v>3098986.88</v>
      </c>
      <c r="D601" s="8">
        <v>14111354.08</v>
      </c>
      <c r="E601" s="8">
        <v>1693362.49</v>
      </c>
      <c r="F601" s="8">
        <v>18903703.449999999</v>
      </c>
      <c r="G601" s="7">
        <v>46465</v>
      </c>
      <c r="H601" s="1" t="s">
        <v>31</v>
      </c>
      <c r="I601" s="1" t="str">
        <f>IF(G601&lt;=$K$1,"Pagado","Pendiente")</f>
        <v>Pendiente</v>
      </c>
    </row>
    <row r="602" spans="1:9" hidden="1">
      <c r="A602" s="2">
        <v>394949</v>
      </c>
      <c r="B602" s="2">
        <v>27</v>
      </c>
      <c r="C602" s="8">
        <v>1357049.22</v>
      </c>
      <c r="D602" s="8">
        <v>3549268.07</v>
      </c>
      <c r="E602" s="8">
        <v>425912.16</v>
      </c>
      <c r="F602" s="8">
        <v>5332229.45</v>
      </c>
      <c r="G602" s="7">
        <v>46472</v>
      </c>
      <c r="H602" s="1" t="s">
        <v>30</v>
      </c>
      <c r="I602" s="1" t="str">
        <f>IF(G602&lt;=$K$1,"Pagado","Pendiente")</f>
        <v>Pendiente</v>
      </c>
    </row>
    <row r="603" spans="1:9" hidden="1">
      <c r="A603" s="2">
        <v>347916</v>
      </c>
      <c r="B603" s="2">
        <v>33</v>
      </c>
      <c r="C603" s="8">
        <v>3471263.9915382368</v>
      </c>
      <c r="D603" s="8">
        <v>4981919.7767211897</v>
      </c>
      <c r="E603" s="8">
        <v>597830.3732065428</v>
      </c>
      <c r="F603" s="8">
        <v>9051014.1414659694</v>
      </c>
      <c r="G603" s="7">
        <v>46473</v>
      </c>
      <c r="H603" s="1" t="s">
        <v>30</v>
      </c>
      <c r="I603" s="1" t="str">
        <f>IF(G603&lt;=$K$1,"Pagado","Pendiente")</f>
        <v>Pendiente</v>
      </c>
    </row>
    <row r="604" spans="1:9" hidden="1">
      <c r="A604" s="2">
        <v>2537844</v>
      </c>
      <c r="B604" s="2">
        <v>36</v>
      </c>
      <c r="C604" s="8">
        <v>2500000</v>
      </c>
      <c r="D604" s="8">
        <v>828082.15749999997</v>
      </c>
      <c r="E604" s="8">
        <v>99369.858899999992</v>
      </c>
      <c r="F604" s="8">
        <v>3427452.0163999996</v>
      </c>
      <c r="G604" s="7">
        <v>46473</v>
      </c>
      <c r="H604" s="1" t="s">
        <v>29</v>
      </c>
      <c r="I604" s="1" t="str">
        <f>IF(G604&lt;=$K$1,"Pagado","Pendiente")</f>
        <v>Pendiente</v>
      </c>
    </row>
    <row r="605" spans="1:9" hidden="1">
      <c r="A605" s="2">
        <v>945870600</v>
      </c>
      <c r="B605" s="2">
        <v>4</v>
      </c>
      <c r="C605" s="8">
        <v>27777777.780000001</v>
      </c>
      <c r="D605" s="8">
        <v>14362688.869999999</v>
      </c>
      <c r="E605" s="8">
        <v>1723522.66</v>
      </c>
      <c r="F605" s="30">
        <v>43863989.310000002</v>
      </c>
      <c r="G605" s="6">
        <v>46132</v>
      </c>
      <c r="H605" s="1" t="s">
        <v>24</v>
      </c>
      <c r="I605" s="1" t="str">
        <f>IF(G605&lt;=$K$1,"Pagado","Pendiente")</f>
        <v>Pagado</v>
      </c>
    </row>
    <row r="606" spans="1:9" hidden="1">
      <c r="A606" s="2">
        <v>31295</v>
      </c>
      <c r="B606" s="2">
        <v>19</v>
      </c>
      <c r="C606" s="8">
        <v>2323276.75</v>
      </c>
      <c r="D606" s="8">
        <v>4936743.47</v>
      </c>
      <c r="E606" s="8">
        <v>592409.21</v>
      </c>
      <c r="F606" s="8">
        <v>7852429.4299999997</v>
      </c>
      <c r="G606" s="7">
        <v>46230</v>
      </c>
      <c r="H606" s="1" t="s">
        <v>35</v>
      </c>
      <c r="I606" s="1" t="str">
        <f>IF(G606&lt;=$K$1,"Pagado","Pendiente")</f>
        <v>Pendiente</v>
      </c>
    </row>
    <row r="607" spans="1:9" hidden="1">
      <c r="A607" s="2">
        <v>20466</v>
      </c>
      <c r="B607" s="2">
        <v>55</v>
      </c>
      <c r="C607" s="8">
        <v>800126.48649733316</v>
      </c>
      <c r="D607" s="8">
        <v>562035.29728945263</v>
      </c>
      <c r="E607" s="8">
        <f>+D607*0.12</f>
        <v>67444.235674734315</v>
      </c>
      <c r="F607" s="8">
        <f>+C607+D607+E607</f>
        <v>1429606.01946152</v>
      </c>
      <c r="G607" s="7">
        <v>46477</v>
      </c>
      <c r="H607" s="1" t="s">
        <v>31</v>
      </c>
      <c r="I607" s="1" t="str">
        <f>IF(G607&lt;=$K$1,"Pagado","Pendiente")</f>
        <v>Pendiente</v>
      </c>
    </row>
    <row r="608" spans="1:9" hidden="1">
      <c r="A608" s="2">
        <v>66235635</v>
      </c>
      <c r="B608" s="2">
        <v>33</v>
      </c>
      <c r="C608" s="8">
        <v>7916666.6699999999</v>
      </c>
      <c r="D608" s="8">
        <v>4706621</v>
      </c>
      <c r="E608" s="8">
        <v>564794.52999999933</v>
      </c>
      <c r="F608" s="8">
        <v>13188082.199999999</v>
      </c>
      <c r="G608" s="7">
        <v>46479</v>
      </c>
      <c r="H608" s="1" t="s">
        <v>26</v>
      </c>
      <c r="I608" s="1" t="str">
        <f>IF(G608&lt;=$K$1,"Pagado","Pendiente")</f>
        <v>Pendiente</v>
      </c>
    </row>
    <row r="609" spans="1:9" hidden="1">
      <c r="A609" s="2">
        <v>22044</v>
      </c>
      <c r="B609" s="2">
        <v>44</v>
      </c>
      <c r="C609" s="8">
        <v>1159313.3498222285</v>
      </c>
      <c r="D609" s="8">
        <v>1572684.5010250194</v>
      </c>
      <c r="E609" s="8">
        <v>188722.14012300235</v>
      </c>
      <c r="F609" s="8">
        <v>2920719.9909702502</v>
      </c>
      <c r="G609" s="7">
        <v>46479</v>
      </c>
      <c r="H609" s="1" t="s">
        <v>31</v>
      </c>
      <c r="I609" s="1" t="str">
        <f>IF(G609&lt;=$K$1,"Pagado","Pendiente")</f>
        <v>Pendiente</v>
      </c>
    </row>
    <row r="610" spans="1:9" hidden="1">
      <c r="A610" s="2">
        <v>119980</v>
      </c>
      <c r="B610" s="2">
        <v>29</v>
      </c>
      <c r="C610" s="8">
        <v>14166666.67</v>
      </c>
      <c r="D610" s="8">
        <v>12718173.51</v>
      </c>
      <c r="E610" s="8">
        <f>+F610-D610-C610</f>
        <v>1526180.8200000003</v>
      </c>
      <c r="F610" s="8">
        <v>28411021</v>
      </c>
      <c r="G610" s="7">
        <v>46481</v>
      </c>
      <c r="H610" s="1" t="s">
        <v>26</v>
      </c>
      <c r="I610" s="1" t="str">
        <f>IF(G610&lt;=$K$1,"Pagado","Pendiente")</f>
        <v>Pendiente</v>
      </c>
    </row>
    <row r="611" spans="1:9" hidden="1">
      <c r="A611" s="2">
        <v>23700</v>
      </c>
      <c r="B611" s="2">
        <v>26</v>
      </c>
      <c r="C611" s="8">
        <v>16486680.060000001</v>
      </c>
      <c r="D611" s="8">
        <v>6135217.1699999999</v>
      </c>
      <c r="E611" s="8">
        <v>736226.06</v>
      </c>
      <c r="F611" s="8">
        <v>23358123.289999999</v>
      </c>
      <c r="G611" s="7">
        <v>46484</v>
      </c>
      <c r="H611" s="1" t="s">
        <v>31</v>
      </c>
      <c r="I611" s="1" t="str">
        <f>IF(G611&lt;=$K$1,"Pagado","Pendiente")</f>
        <v>Pendiente</v>
      </c>
    </row>
    <row r="612" spans="1:9" hidden="1">
      <c r="A612" s="2">
        <v>20828</v>
      </c>
      <c r="B612" s="2">
        <v>52</v>
      </c>
      <c r="C612" s="8">
        <v>958843.05245541187</v>
      </c>
      <c r="D612" s="8">
        <v>824887.47314876097</v>
      </c>
      <c r="E612" s="8">
        <f>+D612*0.105</f>
        <v>86613.184680619903</v>
      </c>
      <c r="F612" s="8">
        <f>+C612+D612+E612</f>
        <v>1870343.7102847928</v>
      </c>
      <c r="G612" s="7">
        <v>46489</v>
      </c>
      <c r="H612" s="1" t="s">
        <v>31</v>
      </c>
      <c r="I612" s="1" t="str">
        <f>IF(G612&lt;=$K$1,"Pagado","Pendiente")</f>
        <v>Pendiente</v>
      </c>
    </row>
    <row r="613" spans="1:9" hidden="1">
      <c r="A613" s="2">
        <v>23996</v>
      </c>
      <c r="B613" s="2">
        <v>21</v>
      </c>
      <c r="C613" s="8">
        <v>1460652.66</v>
      </c>
      <c r="D613" s="8">
        <v>9096149.2699999996</v>
      </c>
      <c r="E613" s="8">
        <v>1092447.52</v>
      </c>
      <c r="F613" s="8">
        <f>+C613+D613+E613</f>
        <v>11649249.449999999</v>
      </c>
      <c r="G613" s="7">
        <v>46490</v>
      </c>
      <c r="H613" s="1" t="s">
        <v>31</v>
      </c>
      <c r="I613" s="1" t="str">
        <f>IF(G613&lt;=$K$1,"Pagado","Pendiente")</f>
        <v>Pendiente</v>
      </c>
    </row>
    <row r="614" spans="1:9" hidden="1">
      <c r="A614" s="2">
        <v>927328</v>
      </c>
      <c r="B614" s="2">
        <v>30</v>
      </c>
      <c r="C614" s="8">
        <v>6549964.865699118</v>
      </c>
      <c r="D614" s="8">
        <v>7497054.7777668033</v>
      </c>
      <c r="E614" s="8">
        <v>899646.57333201636</v>
      </c>
      <c r="F614" s="8">
        <v>14946666.216797937</v>
      </c>
      <c r="G614" s="7">
        <v>46494</v>
      </c>
      <c r="H614" s="1" t="s">
        <v>32</v>
      </c>
      <c r="I614" s="1" t="str">
        <f>IF(G614&lt;=$K$1,"Pagado","Pendiente")</f>
        <v>Pendiente</v>
      </c>
    </row>
    <row r="615" spans="1:9" hidden="1">
      <c r="A615" s="2">
        <v>75472831</v>
      </c>
      <c r="B615" s="2">
        <v>30</v>
      </c>
      <c r="C615" s="8">
        <v>2083333.33</v>
      </c>
      <c r="D615" s="8">
        <v>1868493.15</v>
      </c>
      <c r="E615" s="8">
        <f>+F615-D615-C615</f>
        <v>224219.18000000017</v>
      </c>
      <c r="F615" s="8">
        <v>4176045.66</v>
      </c>
      <c r="G615" s="7">
        <v>46494</v>
      </c>
      <c r="H615" s="1" t="s">
        <v>26</v>
      </c>
      <c r="I615" s="1" t="str">
        <f>IF(G615&lt;=$K$1,"Pagado","Pendiente")</f>
        <v>Pendiente</v>
      </c>
    </row>
    <row r="616" spans="1:9" hidden="1">
      <c r="A616" s="2">
        <v>863502400</v>
      </c>
      <c r="B616" s="2">
        <v>20</v>
      </c>
      <c r="C616" s="8">
        <v>3224816.89</v>
      </c>
      <c r="D616" s="8">
        <v>6796770.3399999999</v>
      </c>
      <c r="E616" s="8">
        <v>815612.45</v>
      </c>
      <c r="F616" s="8">
        <v>10837199.68</v>
      </c>
      <c r="G616" s="7">
        <v>46251</v>
      </c>
      <c r="H616" s="1" t="s">
        <v>24</v>
      </c>
      <c r="I616" s="1" t="str">
        <f>IF(G616&lt;=$K$1,"Pagado","Pendiente")</f>
        <v>Pendiente</v>
      </c>
    </row>
    <row r="617" spans="1:9" hidden="1">
      <c r="A617" s="2">
        <v>863502600</v>
      </c>
      <c r="B617" s="2">
        <v>28</v>
      </c>
      <c r="C617" s="8">
        <v>2079492.45</v>
      </c>
      <c r="D617" s="8">
        <v>3104087.15</v>
      </c>
      <c r="E617" s="8">
        <v>372490.46</v>
      </c>
      <c r="F617" s="8">
        <v>5556070.0599999996</v>
      </c>
      <c r="G617" s="7">
        <v>46494</v>
      </c>
      <c r="H617" s="1" t="s">
        <v>24</v>
      </c>
      <c r="I617" s="1" t="str">
        <f>IF(G617&lt;=$K$1,"Pagado","Pendiente")</f>
        <v>Pendiente</v>
      </c>
    </row>
    <row r="618" spans="1:9" hidden="1">
      <c r="A618" s="2">
        <v>23790</v>
      </c>
      <c r="B618" s="2">
        <v>25</v>
      </c>
      <c r="C618" s="8">
        <v>16046442.684080392</v>
      </c>
      <c r="D618" s="8">
        <v>6748791.4105849667</v>
      </c>
      <c r="E618" s="8">
        <v>809854.96927019604</v>
      </c>
      <c r="F618" s="8">
        <v>23605089.063935556</v>
      </c>
      <c r="G618" s="7">
        <v>46494</v>
      </c>
      <c r="H618" s="1" t="s">
        <v>31</v>
      </c>
      <c r="I618" s="1" t="str">
        <f>IF(G618&lt;=$K$1,"Pagado","Pendiente")</f>
        <v>Pendiente</v>
      </c>
    </row>
    <row r="619" spans="1:9" hidden="1">
      <c r="A619" s="2">
        <v>24004</v>
      </c>
      <c r="B619" s="2">
        <v>21</v>
      </c>
      <c r="C619" s="8">
        <v>1539870.34</v>
      </c>
      <c r="D619" s="8">
        <v>4234639.2300000004</v>
      </c>
      <c r="E619" s="8">
        <v>508580.17</v>
      </c>
      <c r="F619" s="8">
        <v>6283089.7400000002</v>
      </c>
      <c r="G619" s="7">
        <v>46494</v>
      </c>
      <c r="H619" s="1" t="s">
        <v>31</v>
      </c>
      <c r="I619" s="1" t="str">
        <f>IF(G619&lt;=$K$1,"Pagado","Pendiente")</f>
        <v>Pendiente</v>
      </c>
    </row>
    <row r="620" spans="1:9" hidden="1">
      <c r="A620" s="2">
        <v>65210751</v>
      </c>
      <c r="B620" s="2">
        <v>34</v>
      </c>
      <c r="C620" s="8">
        <v>8958333.3300000001</v>
      </c>
      <c r="D620" s="8">
        <v>5301369.8600000003</v>
      </c>
      <c r="E620" s="8">
        <v>636164.38999999873</v>
      </c>
      <c r="F620" s="8">
        <v>14895867.58</v>
      </c>
      <c r="G620" s="7">
        <v>46495</v>
      </c>
      <c r="H620" s="1" t="s">
        <v>26</v>
      </c>
      <c r="I620" s="1" t="str">
        <f>IF(G620&lt;=$K$1,"Pagado","Pendiente")</f>
        <v>Pendiente</v>
      </c>
    </row>
    <row r="621" spans="1:9" hidden="1">
      <c r="A621" s="2">
        <v>23430</v>
      </c>
      <c r="B621" s="2">
        <v>33</v>
      </c>
      <c r="C621" s="8">
        <v>853565.69</v>
      </c>
      <c r="D621" s="8">
        <v>3735858.56</v>
      </c>
      <c r="E621" s="8">
        <v>448303.03</v>
      </c>
      <c r="F621" s="8">
        <v>5037727.28</v>
      </c>
      <c r="G621" s="7">
        <v>46496</v>
      </c>
      <c r="H621" s="1" t="s">
        <v>31</v>
      </c>
      <c r="I621" s="1" t="str">
        <f>IF(G621&lt;=$K$1,"Pagado","Pendiente")</f>
        <v>Pendiente</v>
      </c>
    </row>
    <row r="622" spans="1:9" hidden="1">
      <c r="A622" s="2">
        <v>23467</v>
      </c>
      <c r="B622" s="2">
        <v>32</v>
      </c>
      <c r="C622" s="8">
        <v>3200871.38</v>
      </c>
      <c r="D622" s="8">
        <v>14009469.58</v>
      </c>
      <c r="E622" s="8">
        <v>1681136.35</v>
      </c>
      <c r="F622" s="8">
        <v>18891477.309999999</v>
      </c>
      <c r="G622" s="7">
        <v>46496</v>
      </c>
      <c r="H622" s="1" t="s">
        <v>31</v>
      </c>
      <c r="I622" s="1" t="str">
        <f>IF(G622&lt;=$K$1,"Pagado","Pendiente")</f>
        <v>Pendiente</v>
      </c>
    </row>
    <row r="623" spans="1:9" hidden="1">
      <c r="A623" s="2">
        <v>394949</v>
      </c>
      <c r="B623" s="2">
        <v>28</v>
      </c>
      <c r="C623" s="8">
        <v>1395498.95</v>
      </c>
      <c r="D623" s="8">
        <v>3510818.34</v>
      </c>
      <c r="E623" s="8">
        <v>421298.19</v>
      </c>
      <c r="F623" s="8">
        <v>5327615.4800000004</v>
      </c>
      <c r="G623" s="7">
        <v>46503</v>
      </c>
      <c r="H623" s="1" t="s">
        <v>30</v>
      </c>
      <c r="I623" s="1" t="str">
        <f>IF(G623&lt;=$K$1,"Pagado","Pendiente")</f>
        <v>Pendiente</v>
      </c>
    </row>
    <row r="624" spans="1:9" hidden="1">
      <c r="A624" s="2">
        <v>347916</v>
      </c>
      <c r="B624" s="2">
        <v>34</v>
      </c>
      <c r="C624" s="8">
        <v>3549367.431347847</v>
      </c>
      <c r="D624" s="8">
        <v>4903816.3369115796</v>
      </c>
      <c r="E624" s="8">
        <v>588457.9604293895</v>
      </c>
      <c r="F624" s="8">
        <v>9041641.7286888156</v>
      </c>
      <c r="G624" s="7">
        <v>46504</v>
      </c>
      <c r="H624" s="1" t="s">
        <v>30</v>
      </c>
      <c r="I624" s="1" t="str">
        <f>IF(G624&lt;=$K$1,"Pagado","Pendiente")</f>
        <v>Pendiente</v>
      </c>
    </row>
    <row r="625" spans="1:9" hidden="1">
      <c r="A625" s="2">
        <v>2537844</v>
      </c>
      <c r="B625" s="2">
        <v>37</v>
      </c>
      <c r="C625" s="8">
        <v>2500000</v>
      </c>
      <c r="D625" s="8">
        <v>764383.53</v>
      </c>
      <c r="E625" s="8">
        <v>91726.0236</v>
      </c>
      <c r="F625" s="8">
        <v>3356109.5536000002</v>
      </c>
      <c r="G625" s="7">
        <v>46504</v>
      </c>
      <c r="H625" s="1" t="s">
        <v>29</v>
      </c>
      <c r="I625" s="1" t="str">
        <f>IF(G625&lt;=$K$1,"Pagado","Pendiente")</f>
        <v>Pendiente</v>
      </c>
    </row>
    <row r="626" spans="1:9">
      <c r="A626" s="2">
        <v>36663680</v>
      </c>
      <c r="B626" s="2">
        <v>6</v>
      </c>
      <c r="C626" s="8">
        <v>41666666.666666664</v>
      </c>
      <c r="D626" s="29">
        <v>9828767.1199999992</v>
      </c>
      <c r="E626" s="29">
        <v>1179452.06</v>
      </c>
      <c r="F626" s="29">
        <v>52674885.840000004</v>
      </c>
      <c r="G626" s="7">
        <v>46163</v>
      </c>
      <c r="H626" s="1" t="s">
        <v>27</v>
      </c>
      <c r="I626" s="1" t="str">
        <f>IF(G626&lt;=$K$1,"Pagado","Pendiente")</f>
        <v>Pendiente</v>
      </c>
    </row>
    <row r="627" spans="1:9" hidden="1">
      <c r="A627" s="2">
        <v>31295</v>
      </c>
      <c r="B627" s="2">
        <v>20</v>
      </c>
      <c r="C627" s="8">
        <v>2387166.86</v>
      </c>
      <c r="D627" s="8">
        <v>4872853.3600000003</v>
      </c>
      <c r="E627" s="8">
        <v>584742.40000000002</v>
      </c>
      <c r="F627" s="8">
        <v>7844762.6200000001</v>
      </c>
      <c r="G627" s="7">
        <v>46261</v>
      </c>
      <c r="H627" s="1" t="s">
        <v>35</v>
      </c>
      <c r="I627" s="1" t="str">
        <f>IF(G627&lt;=$K$1,"Pagado","Pendiente")</f>
        <v>Pendiente</v>
      </c>
    </row>
    <row r="628" spans="1:9" hidden="1">
      <c r="A628" s="2">
        <v>20466</v>
      </c>
      <c r="B628" s="2">
        <v>56</v>
      </c>
      <c r="C628" s="8">
        <v>824130.28109225305</v>
      </c>
      <c r="D628" s="8">
        <v>538031.50269453274</v>
      </c>
      <c r="E628" s="8">
        <f>+D628*0.12</f>
        <v>64563.780323343926</v>
      </c>
      <c r="F628" s="8">
        <f>+C628+D628+E628</f>
        <v>1426725.5641101296</v>
      </c>
      <c r="G628" s="7">
        <v>46507</v>
      </c>
      <c r="H628" s="1" t="s">
        <v>31</v>
      </c>
      <c r="I628" s="1" t="str">
        <f>IF(G628&lt;=$K$1,"Pagado","Pendiente")</f>
        <v>Pendiente</v>
      </c>
    </row>
    <row r="629" spans="1:9" hidden="1">
      <c r="A629" s="2">
        <v>66235635</v>
      </c>
      <c r="B629" s="2">
        <v>34</v>
      </c>
      <c r="C629" s="8">
        <v>7916666.6699999999</v>
      </c>
      <c r="D629" s="8">
        <v>4538527.4000000004</v>
      </c>
      <c r="E629" s="8">
        <v>544623.28999999911</v>
      </c>
      <c r="F629" s="8">
        <v>12999817.359999999</v>
      </c>
      <c r="G629" s="7">
        <v>46509</v>
      </c>
      <c r="H629" s="1" t="s">
        <v>26</v>
      </c>
      <c r="I629" s="1" t="str">
        <f>IF(G629&lt;=$K$1,"Pagado","Pendiente")</f>
        <v>Pendiente</v>
      </c>
    </row>
    <row r="630" spans="1:9" hidden="1">
      <c r="A630" s="2">
        <v>22044</v>
      </c>
      <c r="B630" s="2">
        <v>45</v>
      </c>
      <c r="C630" s="8">
        <v>1194092.7503168953</v>
      </c>
      <c r="D630" s="8">
        <v>1537905.1005303527</v>
      </c>
      <c r="E630" s="8">
        <v>184548.61206364233</v>
      </c>
      <c r="F630" s="8">
        <v>2916546.4629108901</v>
      </c>
      <c r="G630" s="7">
        <v>46509</v>
      </c>
      <c r="H630" s="1" t="s">
        <v>31</v>
      </c>
      <c r="I630" s="1" t="str">
        <f>IF(G630&lt;=$K$1,"Pagado","Pendiente")</f>
        <v>Pendiente</v>
      </c>
    </row>
    <row r="631" spans="1:9" hidden="1">
      <c r="A631" s="2">
        <v>119980</v>
      </c>
      <c r="B631" s="2">
        <v>30</v>
      </c>
      <c r="C631" s="8">
        <v>14166666.67</v>
      </c>
      <c r="D631" s="8">
        <v>11165662.1</v>
      </c>
      <c r="E631" s="8">
        <f>+F631-D631-C631</f>
        <v>1339879.4499999993</v>
      </c>
      <c r="F631" s="8">
        <v>26672208.219999999</v>
      </c>
      <c r="G631" s="7">
        <v>46511</v>
      </c>
      <c r="H631" s="1" t="s">
        <v>26</v>
      </c>
      <c r="I631" s="1" t="str">
        <f>IF(G631&lt;=$K$1,"Pagado","Pendiente")</f>
        <v>Pendiente</v>
      </c>
    </row>
    <row r="632" spans="1:9" hidden="1">
      <c r="A632" s="2">
        <v>23700</v>
      </c>
      <c r="B632" s="2">
        <v>27</v>
      </c>
      <c r="C632" s="8">
        <v>16967729.760000002</v>
      </c>
      <c r="D632" s="8">
        <v>5654167.4699999997</v>
      </c>
      <c r="E632" s="8">
        <v>678500.09</v>
      </c>
      <c r="F632" s="8">
        <v>23300397.32</v>
      </c>
      <c r="G632" s="7">
        <v>46514</v>
      </c>
      <c r="H632" s="1" t="s">
        <v>31</v>
      </c>
      <c r="I632" s="1" t="str">
        <f>IF(G632&lt;=$K$1,"Pagado","Pendiente")</f>
        <v>Pendiente</v>
      </c>
    </row>
    <row r="633" spans="1:9" hidden="1">
      <c r="A633" s="2">
        <v>20828</v>
      </c>
      <c r="B633" s="2">
        <v>53</v>
      </c>
      <c r="C633" s="8">
        <v>987608.34402907419</v>
      </c>
      <c r="D633" s="8">
        <v>796122.18157509866</v>
      </c>
      <c r="E633" s="8">
        <f>+D633*0.105</f>
        <v>83592.829065385362</v>
      </c>
      <c r="F633" s="8">
        <f>+C633+D633+E633</f>
        <v>1867323.3546695581</v>
      </c>
      <c r="G633" s="7">
        <v>46519</v>
      </c>
      <c r="H633" s="1" t="s">
        <v>31</v>
      </c>
      <c r="I633" s="1" t="str">
        <f>IF(G633&lt;=$K$1,"Pagado","Pendiente")</f>
        <v>Pendiente</v>
      </c>
    </row>
    <row r="634" spans="1:9" hidden="1">
      <c r="A634" s="2">
        <v>23996</v>
      </c>
      <c r="B634" s="2">
        <v>22</v>
      </c>
      <c r="C634" s="8">
        <v>1506498.14</v>
      </c>
      <c r="D634" s="8">
        <v>9050303.7899999991</v>
      </c>
      <c r="E634" s="8">
        <v>1086941.49</v>
      </c>
      <c r="F634" s="8">
        <f>+C634+D634+E634</f>
        <v>11643743.42</v>
      </c>
      <c r="G634" s="7">
        <v>46520</v>
      </c>
      <c r="H634" s="1" t="s">
        <v>31</v>
      </c>
      <c r="I634" s="1" t="str">
        <f>IF(G634&lt;=$K$1,"Pagado","Pendiente")</f>
        <v>Pendiente</v>
      </c>
    </row>
    <row r="635" spans="1:9" hidden="1">
      <c r="A635" s="2">
        <v>927328</v>
      </c>
      <c r="B635" s="2">
        <v>31</v>
      </c>
      <c r="C635" s="8">
        <v>6713168.1569361212</v>
      </c>
      <c r="D635" s="8">
        <v>7333851.4865298001</v>
      </c>
      <c r="E635" s="8">
        <v>880062.17838357599</v>
      </c>
      <c r="F635" s="8">
        <v>14927081.821849497</v>
      </c>
      <c r="G635" s="7">
        <v>46524</v>
      </c>
      <c r="H635" s="1" t="s">
        <v>32</v>
      </c>
      <c r="I635" s="1" t="str">
        <f>IF(G635&lt;=$K$1,"Pagado","Pendiente")</f>
        <v>Pendiente</v>
      </c>
    </row>
    <row r="636" spans="1:9" hidden="1">
      <c r="A636" s="2">
        <v>75472831</v>
      </c>
      <c r="B636" s="2">
        <v>31</v>
      </c>
      <c r="C636" s="8">
        <v>2083333.33</v>
      </c>
      <c r="D636" s="8">
        <v>1534246.58</v>
      </c>
      <c r="E636" s="8">
        <f>+F636-D636-C636</f>
        <v>184109.58999999985</v>
      </c>
      <c r="F636" s="8">
        <v>3801689.5</v>
      </c>
      <c r="G636" s="7">
        <v>46524</v>
      </c>
      <c r="H636" s="1" t="s">
        <v>26</v>
      </c>
      <c r="I636" s="1" t="str">
        <f>IF(G636&lt;=$K$1,"Pagado","Pendiente")</f>
        <v>Pendiente</v>
      </c>
    </row>
    <row r="637" spans="1:9" hidden="1">
      <c r="A637" s="2">
        <v>863502400</v>
      </c>
      <c r="B637" s="2">
        <v>21</v>
      </c>
      <c r="C637" s="8">
        <v>3314934.4</v>
      </c>
      <c r="D637" s="8">
        <v>6706652.8300000001</v>
      </c>
      <c r="E637" s="8">
        <v>804798.34</v>
      </c>
      <c r="F637" s="8">
        <v>10826385.57</v>
      </c>
      <c r="G637" s="7">
        <v>46282</v>
      </c>
      <c r="H637" s="1" t="s">
        <v>24</v>
      </c>
      <c r="I637" s="1" t="str">
        <f>IF(G637&lt;=$K$1,"Pagado","Pendiente")</f>
        <v>Pendiente</v>
      </c>
    </row>
    <row r="638" spans="1:9" hidden="1">
      <c r="A638" s="2">
        <v>863502600</v>
      </c>
      <c r="B638" s="2">
        <v>29</v>
      </c>
      <c r="C638" s="8">
        <v>2137603.86</v>
      </c>
      <c r="D638" s="8">
        <v>3045975.74</v>
      </c>
      <c r="E638" s="8">
        <v>365517.09</v>
      </c>
      <c r="F638" s="8">
        <v>5549096.6900000004</v>
      </c>
      <c r="G638" s="7">
        <v>46524</v>
      </c>
      <c r="H638" s="1" t="s">
        <v>24</v>
      </c>
      <c r="I638" s="1" t="str">
        <f>IF(G638&lt;=$K$1,"Pagado","Pendiente")</f>
        <v>Pendiente</v>
      </c>
    </row>
    <row r="639" spans="1:9" hidden="1">
      <c r="A639" s="2">
        <v>23790</v>
      </c>
      <c r="B639" s="2">
        <v>26</v>
      </c>
      <c r="C639" s="8">
        <v>16522821.451264029</v>
      </c>
      <c r="D639" s="8">
        <v>6272412.6434013303</v>
      </c>
      <c r="E639" s="8">
        <v>752689.51720815967</v>
      </c>
      <c r="F639" s="8">
        <v>23547923.611873519</v>
      </c>
      <c r="G639" s="7">
        <v>46524</v>
      </c>
      <c r="H639" s="1" t="s">
        <v>31</v>
      </c>
      <c r="I639" s="1" t="str">
        <f>IF(G639&lt;=$K$1,"Pagado","Pendiente")</f>
        <v>Pendiente</v>
      </c>
    </row>
    <row r="640" spans="1:9" hidden="1">
      <c r="A640" s="2">
        <v>24004</v>
      </c>
      <c r="B640" s="2">
        <v>22</v>
      </c>
      <c r="C640" s="8">
        <v>1591603.66</v>
      </c>
      <c r="D640" s="8">
        <v>4182905.91</v>
      </c>
      <c r="E640" s="8">
        <v>502367</v>
      </c>
      <c r="F640" s="8">
        <v>6276876.5700000003</v>
      </c>
      <c r="G640" s="7">
        <v>46524</v>
      </c>
      <c r="H640" s="1" t="s">
        <v>31</v>
      </c>
      <c r="I640" s="1" t="str">
        <f>IF(G640&lt;=$K$1,"Pagado","Pendiente")</f>
        <v>Pendiente</v>
      </c>
    </row>
    <row r="641" spans="1:9" hidden="1">
      <c r="A641" s="2">
        <v>65210751</v>
      </c>
      <c r="B641" s="2">
        <v>35</v>
      </c>
      <c r="C641" s="8">
        <v>8958333.3300000001</v>
      </c>
      <c r="D641" s="8">
        <v>4626426.9400000004</v>
      </c>
      <c r="E641" s="8">
        <v>555171.22999999858</v>
      </c>
      <c r="F641" s="8">
        <v>14139931.5</v>
      </c>
      <c r="G641" s="7">
        <v>46525</v>
      </c>
      <c r="H641" s="1" t="s">
        <v>26</v>
      </c>
      <c r="I641" s="1" t="str">
        <f>IF(G641&lt;=$K$1,"Pagado","Pendiente")</f>
        <v>Pendiente</v>
      </c>
    </row>
    <row r="642" spans="1:9" hidden="1">
      <c r="A642" s="2">
        <v>23430</v>
      </c>
      <c r="B642" s="2">
        <v>34</v>
      </c>
      <c r="C642" s="8">
        <v>881628.12</v>
      </c>
      <c r="D642" s="8">
        <v>3707796.13</v>
      </c>
      <c r="E642" s="8">
        <v>444935.53</v>
      </c>
      <c r="F642" s="8">
        <v>5034359.78</v>
      </c>
      <c r="G642" s="7">
        <v>46526</v>
      </c>
      <c r="H642" s="1" t="s">
        <v>31</v>
      </c>
      <c r="I642" s="1" t="str">
        <f>IF(G642&lt;=$K$1,"Pagado","Pendiente")</f>
        <v>Pendiente</v>
      </c>
    </row>
    <row r="643" spans="1:9" hidden="1">
      <c r="A643" s="2">
        <v>23467</v>
      </c>
      <c r="B643" s="2">
        <v>33</v>
      </c>
      <c r="C643" s="8">
        <v>3306105.51</v>
      </c>
      <c r="D643" s="8">
        <v>13904235.449999999</v>
      </c>
      <c r="E643" s="8">
        <v>1668508.25</v>
      </c>
      <c r="F643" s="8">
        <v>18878849.210000001</v>
      </c>
      <c r="G643" s="7">
        <v>46526</v>
      </c>
      <c r="H643" s="1" t="s">
        <v>31</v>
      </c>
      <c r="I643" s="1" t="str">
        <f>IF(G643&lt;=$K$1,"Pagado","Pendiente")</f>
        <v>Pendiente</v>
      </c>
    </row>
    <row r="644" spans="1:9" hidden="1">
      <c r="A644" s="2">
        <v>394949</v>
      </c>
      <c r="B644" s="2">
        <v>29</v>
      </c>
      <c r="C644" s="8">
        <v>1435038.09</v>
      </c>
      <c r="D644" s="8">
        <v>3471279.2</v>
      </c>
      <c r="E644" s="8">
        <v>416553.49</v>
      </c>
      <c r="F644" s="8">
        <v>5322870.78</v>
      </c>
      <c r="G644" s="7">
        <v>46533</v>
      </c>
      <c r="H644" s="1" t="s">
        <v>30</v>
      </c>
      <c r="I644" s="1" t="str">
        <f>IF(G644&lt;=$K$1,"Pagado","Pendiente")</f>
        <v>Pendiente</v>
      </c>
    </row>
    <row r="645" spans="1:9" hidden="1">
      <c r="A645" s="2">
        <v>347916</v>
      </c>
      <c r="B645" s="2">
        <v>35</v>
      </c>
      <c r="C645" s="8">
        <v>3629228.1985531729</v>
      </c>
      <c r="D645" s="8">
        <v>4823955.5697062537</v>
      </c>
      <c r="E645" s="8">
        <v>578874.66836475045</v>
      </c>
      <c r="F645" s="8">
        <v>9032058.4366241768</v>
      </c>
      <c r="G645" s="7">
        <v>46534</v>
      </c>
      <c r="H645" s="1" t="s">
        <v>30</v>
      </c>
      <c r="I645" s="1" t="str">
        <f>IF(G645&lt;=$K$1,"Pagado","Pendiente")</f>
        <v>Pendiente</v>
      </c>
    </row>
    <row r="646" spans="1:9" hidden="1">
      <c r="A646" s="2">
        <v>2537844</v>
      </c>
      <c r="B646" s="2">
        <v>38</v>
      </c>
      <c r="C646" s="8">
        <v>2500000</v>
      </c>
      <c r="D646" s="8">
        <v>700684.90249999997</v>
      </c>
      <c r="E646" s="8">
        <v>84082.188299999994</v>
      </c>
      <c r="F646" s="8">
        <v>3284767.0907999999</v>
      </c>
      <c r="G646" s="7">
        <v>46534</v>
      </c>
      <c r="H646" s="1" t="s">
        <v>29</v>
      </c>
      <c r="I646" s="1" t="str">
        <f>IF(G646&lt;=$K$1,"Pagado","Pendiente")</f>
        <v>Pendiente</v>
      </c>
    </row>
    <row r="647" spans="1:9" hidden="1">
      <c r="A647" s="2">
        <v>843950300</v>
      </c>
      <c r="B647" s="2">
        <v>21</v>
      </c>
      <c r="C647" s="8">
        <v>2581819.6</v>
      </c>
      <c r="D647" s="8">
        <v>5193549.8</v>
      </c>
      <c r="E647" s="8">
        <f>+F647-D647-C647</f>
        <v>623225.98000000091</v>
      </c>
      <c r="F647" s="8">
        <v>8398595.3800000008</v>
      </c>
      <c r="G647" s="7">
        <v>46200</v>
      </c>
      <c r="H647" s="1" t="s">
        <v>24</v>
      </c>
      <c r="I647" s="1" t="str">
        <f>IF(G647&lt;=$K$1,"Pagado","Pendiente")</f>
        <v>Pendiente</v>
      </c>
    </row>
    <row r="648" spans="1:9" s="1" customFormat="1" hidden="1">
      <c r="A648" s="2">
        <v>843950300</v>
      </c>
      <c r="B648" s="2">
        <v>22</v>
      </c>
      <c r="C648" s="8">
        <v>2653968.5499999998</v>
      </c>
      <c r="D648" s="8">
        <v>5121400.8499999996</v>
      </c>
      <c r="E648" s="8">
        <f>+F648-D648-C648</f>
        <v>614568.10000000056</v>
      </c>
      <c r="F648" s="8">
        <v>8389937.5</v>
      </c>
      <c r="G648" s="7">
        <v>46230</v>
      </c>
      <c r="H648" s="1" t="s">
        <v>24</v>
      </c>
      <c r="I648" s="1" t="str">
        <f>IF(G648&lt;=$K$1,"Pagado","Pendiente")</f>
        <v>Pendiente</v>
      </c>
    </row>
    <row r="649" spans="1:9" s="10" customFormat="1" hidden="1">
      <c r="A649" s="2">
        <v>843950300</v>
      </c>
      <c r="B649" s="2">
        <v>23</v>
      </c>
      <c r="C649" s="8">
        <v>2728133.7</v>
      </c>
      <c r="D649" s="8">
        <v>5047235.7</v>
      </c>
      <c r="E649" s="8">
        <f>+F649-D649-C649</f>
        <v>605668.29</v>
      </c>
      <c r="F649" s="8">
        <v>8381037.6900000004</v>
      </c>
      <c r="G649" s="7">
        <v>46261</v>
      </c>
      <c r="H649" s="1" t="s">
        <v>24</v>
      </c>
      <c r="I649" s="1" t="str">
        <f>IF(G649&lt;=$K$1,"Pagado","Pendiente")</f>
        <v>Pendiente</v>
      </c>
    </row>
    <row r="650" spans="1:9" s="10" customFormat="1" hidden="1">
      <c r="A650" s="2">
        <v>843950300</v>
      </c>
      <c r="B650" s="2">
        <v>24</v>
      </c>
      <c r="C650" s="8">
        <v>2804371.39</v>
      </c>
      <c r="D650" s="8">
        <v>4970998.01</v>
      </c>
      <c r="E650" s="8">
        <f>+F650-D650-C650</f>
        <v>596519.76000000024</v>
      </c>
      <c r="F650" s="8">
        <v>8371889.1600000001</v>
      </c>
      <c r="G650" s="7">
        <v>46292</v>
      </c>
      <c r="H650" s="1" t="s">
        <v>24</v>
      </c>
      <c r="I650" s="1" t="str">
        <f>IF(G650&lt;=$K$1,"Pagado","Pendiente")</f>
        <v>Pendiente</v>
      </c>
    </row>
    <row r="651" spans="1:9" s="10" customFormat="1" hidden="1">
      <c r="A651" s="2">
        <v>843950300</v>
      </c>
      <c r="B651" s="2">
        <v>25</v>
      </c>
      <c r="C651" s="8">
        <v>2882739.55</v>
      </c>
      <c r="D651" s="8">
        <v>4892629.8499999996</v>
      </c>
      <c r="E651" s="8">
        <f>+F651-D651-C651</f>
        <v>587115.58000000101</v>
      </c>
      <c r="F651" s="8">
        <v>8362484.9800000004</v>
      </c>
      <c r="G651" s="7">
        <v>46322</v>
      </c>
      <c r="H651" s="1" t="s">
        <v>24</v>
      </c>
      <c r="I651" s="1" t="str">
        <f>IF(G651&lt;=$K$1,"Pagado","Pendiente")</f>
        <v>Pendiente</v>
      </c>
    </row>
    <row r="652" spans="1:9" s="10" customFormat="1" hidden="1">
      <c r="A652" s="2">
        <v>843950300</v>
      </c>
      <c r="B652" s="2">
        <v>26</v>
      </c>
      <c r="C652" s="8">
        <v>2963297.71</v>
      </c>
      <c r="D652" s="8">
        <v>4812071.6900000004</v>
      </c>
      <c r="E652" s="8">
        <f>+F652-D652-C652</f>
        <v>577448.6099999994</v>
      </c>
      <c r="F652" s="8">
        <v>8352818.0099999998</v>
      </c>
      <c r="G652" s="7">
        <v>46353</v>
      </c>
      <c r="H652" s="1" t="s">
        <v>24</v>
      </c>
      <c r="I652" s="1" t="str">
        <f>IF(G652&lt;=$K$1,"Pagado","Pendiente")</f>
        <v>Pendiente</v>
      </c>
    </row>
    <row r="653" spans="1:9" s="10" customFormat="1" hidden="1">
      <c r="A653" s="2">
        <v>843950300</v>
      </c>
      <c r="B653" s="2">
        <v>27</v>
      </c>
      <c r="C653" s="8">
        <v>3046107.06</v>
      </c>
      <c r="D653" s="8">
        <v>4729262.34</v>
      </c>
      <c r="E653" s="8">
        <f>+F653-D653-C653</f>
        <v>567511.48999999976</v>
      </c>
      <c r="F653" s="8">
        <v>8342880.8899999997</v>
      </c>
      <c r="G653" s="7">
        <v>46383</v>
      </c>
      <c r="H653" s="1" t="s">
        <v>24</v>
      </c>
      <c r="I653" s="1" t="str">
        <f>IF(G653&lt;=$K$1,"Pagado","Pendiente")</f>
        <v>Pendiente</v>
      </c>
    </row>
    <row r="654" spans="1:9" s="10" customFormat="1" hidden="1">
      <c r="A654" s="2">
        <v>843950300</v>
      </c>
      <c r="B654" s="2">
        <v>28</v>
      </c>
      <c r="C654" s="8">
        <v>3131230.53</v>
      </c>
      <c r="D654" s="8">
        <v>4644138.87</v>
      </c>
      <c r="E654" s="8">
        <f>+F654-D654-C654</f>
        <v>557296.65999999968</v>
      </c>
      <c r="F654" s="8">
        <v>8332666.0599999996</v>
      </c>
      <c r="G654" s="7">
        <v>46414</v>
      </c>
      <c r="H654" s="1" t="s">
        <v>24</v>
      </c>
      <c r="I654" s="1" t="str">
        <f>IF(G654&lt;=$K$1,"Pagado","Pendiente")</f>
        <v>Pendiente</v>
      </c>
    </row>
    <row r="655" spans="1:9" s="10" customFormat="1" hidden="1">
      <c r="A655" s="2">
        <v>843950300</v>
      </c>
      <c r="B655" s="2">
        <v>29</v>
      </c>
      <c r="C655" s="8">
        <v>3218732.76</v>
      </c>
      <c r="D655" s="8">
        <v>4556636.6399999997</v>
      </c>
      <c r="E655" s="8">
        <f>+F655-D655-C655</f>
        <v>546796.40000000037</v>
      </c>
      <c r="F655" s="8">
        <v>8322165.7999999998</v>
      </c>
      <c r="G655" s="7">
        <v>46445</v>
      </c>
      <c r="H655" s="1" t="s">
        <v>24</v>
      </c>
      <c r="I655" s="1" t="str">
        <f>IF(G655&lt;=$K$1,"Pagado","Pendiente")</f>
        <v>Pendiente</v>
      </c>
    </row>
    <row r="656" spans="1:9" s="10" customFormat="1" hidden="1">
      <c r="A656" s="9">
        <v>863502600</v>
      </c>
      <c r="B656" s="9">
        <v>6</v>
      </c>
      <c r="C656" s="13">
        <v>1134018.19</v>
      </c>
      <c r="D656" s="13">
        <v>4049561.41</v>
      </c>
      <c r="E656" s="13">
        <v>485947.37</v>
      </c>
      <c r="F656" s="13">
        <v>5669526.9699999997</v>
      </c>
      <c r="G656" s="11">
        <v>45825</v>
      </c>
      <c r="H656" s="10" t="s">
        <v>24</v>
      </c>
      <c r="I656" s="1" t="str">
        <f>IF(G656&lt;=$K$1,"Pagado","Pendiente")</f>
        <v>Pagado</v>
      </c>
    </row>
    <row r="657" spans="1:10" hidden="1">
      <c r="A657" s="2">
        <v>843950300</v>
      </c>
      <c r="B657" s="2">
        <v>30</v>
      </c>
      <c r="C657" s="8">
        <v>3308680.25</v>
      </c>
      <c r="D657" s="8">
        <v>4466689.1500000004</v>
      </c>
      <c r="E657" s="8">
        <f>+F657-D657-C657</f>
        <v>536002.69999999925</v>
      </c>
      <c r="F657" s="8">
        <v>8311372.0999999996</v>
      </c>
      <c r="G657" s="7">
        <v>46473</v>
      </c>
      <c r="H657" s="1" t="s">
        <v>24</v>
      </c>
      <c r="I657" s="1" t="str">
        <f>IF(G657&lt;=$K$1,"Pagado","Pendiente")</f>
        <v>Pendiente</v>
      </c>
    </row>
    <row r="658" spans="1:10" hidden="1">
      <c r="A658" s="2">
        <v>843950300</v>
      </c>
      <c r="B658" s="2">
        <v>31</v>
      </c>
      <c r="C658" s="8">
        <v>3401141.32</v>
      </c>
      <c r="D658" s="8">
        <v>4374228.08</v>
      </c>
      <c r="E658" s="8">
        <f>+F658-D658-C658</f>
        <v>524907.36999999965</v>
      </c>
      <c r="F658" s="8">
        <v>8300276.7699999996</v>
      </c>
      <c r="G658" s="7">
        <v>46504</v>
      </c>
      <c r="H658" s="1" t="s">
        <v>24</v>
      </c>
      <c r="I658" s="1" t="str">
        <f>IF(G658&lt;=$K$1,"Pagado","Pendiente")</f>
        <v>Pendiente</v>
      </c>
    </row>
    <row r="659" spans="1:10" hidden="1">
      <c r="A659" s="2">
        <v>31295</v>
      </c>
      <c r="B659" s="2">
        <v>21</v>
      </c>
      <c r="C659" s="8">
        <v>2452813.9500000002</v>
      </c>
      <c r="D659" s="8">
        <v>4807206.2699999996</v>
      </c>
      <c r="E659" s="8">
        <v>576864.75</v>
      </c>
      <c r="F659" s="8">
        <v>7836884.9699999997</v>
      </c>
      <c r="G659" s="7">
        <v>46292</v>
      </c>
      <c r="H659" s="1" t="s">
        <v>35</v>
      </c>
      <c r="I659" s="1" t="str">
        <f>IF(G659&lt;=$K$1,"Pagado","Pendiente")</f>
        <v>Pendiente</v>
      </c>
    </row>
    <row r="660" spans="1:10" hidden="1">
      <c r="A660" s="2">
        <v>20466</v>
      </c>
      <c r="B660" s="2">
        <v>57</v>
      </c>
      <c r="C660" s="8">
        <v>848854.18952502066</v>
      </c>
      <c r="D660" s="8">
        <v>513307.59426176513</v>
      </c>
      <c r="E660" s="8">
        <f>+D660*0.12</f>
        <v>61596.911311411815</v>
      </c>
      <c r="F660" s="8">
        <f>+C660+D660+E660</f>
        <v>1423758.6950981976</v>
      </c>
      <c r="G660" s="7">
        <v>46538</v>
      </c>
      <c r="H660" s="1" t="s">
        <v>31</v>
      </c>
      <c r="I660" s="1" t="str">
        <f>IF(G660&lt;=$K$1,"Pagado","Pendiente")</f>
        <v>Pendiente</v>
      </c>
    </row>
    <row r="661" spans="1:10" s="10" customFormat="1" hidden="1">
      <c r="A661" s="2">
        <v>66235635</v>
      </c>
      <c r="B661" s="2">
        <v>35</v>
      </c>
      <c r="C661" s="8">
        <v>7916666.6699999999</v>
      </c>
      <c r="D661" s="8">
        <v>4229452.05</v>
      </c>
      <c r="E661" s="8">
        <v>507534.25000000186</v>
      </c>
      <c r="F661" s="8">
        <v>12653652.970000001</v>
      </c>
      <c r="G661" s="7">
        <v>46540</v>
      </c>
      <c r="H661" s="1" t="s">
        <v>26</v>
      </c>
      <c r="I661" s="1" t="str">
        <f>IF(G661&lt;=$K$1,"Pagado","Pendiente")</f>
        <v>Pendiente</v>
      </c>
      <c r="J661" s="15"/>
    </row>
    <row r="662" spans="1:10" hidden="1">
      <c r="A662" s="2">
        <v>22044</v>
      </c>
      <c r="B662" s="2">
        <v>46</v>
      </c>
      <c r="C662" s="8">
        <v>1229915.5328264022</v>
      </c>
      <c r="D662" s="8">
        <v>1502082.3180208458</v>
      </c>
      <c r="E662" s="8">
        <v>180249.8781625015</v>
      </c>
      <c r="F662" s="8">
        <v>2912247.7290097494</v>
      </c>
      <c r="G662" s="7">
        <v>46540</v>
      </c>
      <c r="H662" s="1" t="s">
        <v>31</v>
      </c>
      <c r="I662" s="1" t="str">
        <f>IF(G662&lt;=$K$1,"Pagado","Pendiente")</f>
        <v>Pendiente</v>
      </c>
    </row>
    <row r="663" spans="1:10" hidden="1">
      <c r="A663" s="2">
        <v>119980</v>
      </c>
      <c r="B663" s="2">
        <v>31</v>
      </c>
      <c r="C663" s="8">
        <v>14166666.67</v>
      </c>
      <c r="D663" s="8">
        <v>11550684.93</v>
      </c>
      <c r="E663" s="8">
        <f>+F663-D663-C663</f>
        <v>1386082.1899999995</v>
      </c>
      <c r="F663" s="8">
        <v>27103433.789999999</v>
      </c>
      <c r="G663" s="7">
        <v>46542</v>
      </c>
      <c r="H663" s="1" t="s">
        <v>26</v>
      </c>
      <c r="I663" s="1" t="str">
        <f>IF(G663&lt;=$K$1,"Pagado","Pendiente")</f>
        <v>Pendiente</v>
      </c>
    </row>
    <row r="664" spans="1:10" hidden="1">
      <c r="A664" s="2">
        <v>23700</v>
      </c>
      <c r="B664" s="2">
        <v>28</v>
      </c>
      <c r="C664" s="8">
        <v>17462815.57</v>
      </c>
      <c r="D664" s="8">
        <v>5159081.66</v>
      </c>
      <c r="E664" s="8">
        <v>619089.79</v>
      </c>
      <c r="F664" s="8">
        <v>23240987.02</v>
      </c>
      <c r="G664" s="7">
        <v>46545</v>
      </c>
      <c r="H664" s="1" t="s">
        <v>31</v>
      </c>
      <c r="I664" s="1" t="str">
        <f>IF(G664&lt;=$K$1,"Pagado","Pendiente")</f>
        <v>Pendiente</v>
      </c>
    </row>
    <row r="665" spans="1:10" hidden="1">
      <c r="A665" s="2">
        <v>20828</v>
      </c>
      <c r="B665" s="2">
        <v>54</v>
      </c>
      <c r="C665" s="8">
        <v>1017236.5943499464</v>
      </c>
      <c r="D665" s="8">
        <v>766493.93125422648</v>
      </c>
      <c r="E665" s="8">
        <f>+D665*0.105</f>
        <v>80481.862781693781</v>
      </c>
      <c r="F665" s="8">
        <f>+C665+D665+E665</f>
        <v>1864212.3883858665</v>
      </c>
      <c r="G665" s="7">
        <v>46550</v>
      </c>
      <c r="H665" s="1" t="s">
        <v>31</v>
      </c>
      <c r="I665" s="1" t="str">
        <f>IF(G665&lt;=$K$1,"Pagado","Pendiente")</f>
        <v>Pendiente</v>
      </c>
    </row>
    <row r="666" spans="1:10" hidden="1">
      <c r="A666" s="2">
        <v>23996</v>
      </c>
      <c r="B666" s="2">
        <v>23</v>
      </c>
      <c r="C666" s="8">
        <v>1553782.58</v>
      </c>
      <c r="D666" s="8">
        <v>9003019.3499999996</v>
      </c>
      <c r="E666" s="8">
        <v>1081262.6200000001</v>
      </c>
      <c r="F666" s="8">
        <f>+C666+D666+E666</f>
        <v>11638064.550000001</v>
      </c>
      <c r="G666" s="7">
        <v>46551</v>
      </c>
      <c r="H666" s="1" t="s">
        <v>31</v>
      </c>
      <c r="I666" s="1" t="str">
        <f>IF(G666&lt;=$K$1,"Pagado","Pendiente")</f>
        <v>Pendiente</v>
      </c>
    </row>
    <row r="667" spans="1:10" hidden="1">
      <c r="A667" s="2">
        <v>927328</v>
      </c>
      <c r="B667" s="2">
        <v>32</v>
      </c>
      <c r="C667" s="8">
        <v>6880437.9301797794</v>
      </c>
      <c r="D667" s="8">
        <v>7166581.7132861419</v>
      </c>
      <c r="E667" s="8">
        <v>859989.80559433706</v>
      </c>
      <c r="F667" s="8">
        <v>14907009.449060258</v>
      </c>
      <c r="G667" s="7">
        <v>46555</v>
      </c>
      <c r="H667" s="1" t="s">
        <v>32</v>
      </c>
      <c r="I667" s="1" t="str">
        <f>IF(G667&lt;=$K$1,"Pagado","Pendiente")</f>
        <v>Pendiente</v>
      </c>
    </row>
    <row r="668" spans="1:10" hidden="1">
      <c r="A668" s="2">
        <v>75472831</v>
      </c>
      <c r="B668" s="2">
        <v>32</v>
      </c>
      <c r="C668" s="8">
        <v>2083333.33</v>
      </c>
      <c r="D668" s="8">
        <v>1642009.13</v>
      </c>
      <c r="E668" s="8">
        <f>+F668-D668-C668</f>
        <v>197041.10000000009</v>
      </c>
      <c r="F668" s="8">
        <v>3922383.56</v>
      </c>
      <c r="G668" s="7">
        <v>46555</v>
      </c>
      <c r="H668" s="1" t="s">
        <v>26</v>
      </c>
      <c r="I668" s="1" t="str">
        <f>IF(G668&lt;=$K$1,"Pagado","Pendiente")</f>
        <v>Pendiente</v>
      </c>
    </row>
    <row r="669" spans="1:10" hidden="1">
      <c r="A669" s="2">
        <v>863502400</v>
      </c>
      <c r="B669" s="2">
        <v>22</v>
      </c>
      <c r="C669" s="8">
        <v>3407570.24</v>
      </c>
      <c r="D669" s="8">
        <v>6614016.9900000002</v>
      </c>
      <c r="E669" s="8">
        <v>793682.03</v>
      </c>
      <c r="F669" s="8">
        <v>10815269.26</v>
      </c>
      <c r="G669" s="7">
        <v>46312</v>
      </c>
      <c r="H669" s="1" t="s">
        <v>24</v>
      </c>
      <c r="I669" s="1" t="str">
        <f>IF(G669&lt;=$K$1,"Pagado","Pendiente")</f>
        <v>Pendiente</v>
      </c>
    </row>
    <row r="670" spans="1:10" hidden="1">
      <c r="A670" s="2">
        <v>863502600</v>
      </c>
      <c r="B670" s="2">
        <v>30</v>
      </c>
      <c r="C670" s="8">
        <v>2197339.2000000002</v>
      </c>
      <c r="D670" s="8">
        <v>2986240.4</v>
      </c>
      <c r="E670" s="8">
        <v>358348.85</v>
      </c>
      <c r="F670" s="8">
        <v>5541928.4500000002</v>
      </c>
      <c r="G670" s="7">
        <v>46555</v>
      </c>
      <c r="H670" s="1" t="s">
        <v>24</v>
      </c>
      <c r="I670" s="1" t="str">
        <f>IF(G670&lt;=$K$1,"Pagado","Pendiente")</f>
        <v>Pendiente</v>
      </c>
    </row>
    <row r="671" spans="1:10" hidden="1">
      <c r="A671" s="2">
        <v>23790</v>
      </c>
      <c r="B671" s="2">
        <v>27</v>
      </c>
      <c r="C671" s="8">
        <v>17013342.713098429</v>
      </c>
      <c r="D671" s="8">
        <v>5781891.3815669287</v>
      </c>
      <c r="E671" s="8">
        <v>693826.96578803146</v>
      </c>
      <c r="F671" s="8">
        <v>23489061.060453389</v>
      </c>
      <c r="G671" s="7">
        <v>46555</v>
      </c>
      <c r="H671" s="1" t="s">
        <v>31</v>
      </c>
      <c r="I671" s="1" t="str">
        <f>IF(G671&lt;=$K$1,"Pagado","Pendiente")</f>
        <v>Pendiente</v>
      </c>
    </row>
    <row r="672" spans="1:10" hidden="1">
      <c r="A672" s="2">
        <v>24004</v>
      </c>
      <c r="B672" s="2">
        <v>23</v>
      </c>
      <c r="C672" s="8">
        <v>1645075</v>
      </c>
      <c r="D672" s="8">
        <v>4129434.57</v>
      </c>
      <c r="E672" s="8">
        <v>495945.09</v>
      </c>
      <c r="F672" s="8">
        <v>6270454.6600000001</v>
      </c>
      <c r="G672" s="7">
        <v>46555</v>
      </c>
      <c r="H672" s="1" t="s">
        <v>31</v>
      </c>
      <c r="I672" s="1" t="str">
        <f>IF(G672&lt;=$K$1,"Pagado","Pendiente")</f>
        <v>Pendiente</v>
      </c>
    </row>
    <row r="673" spans="1:9" hidden="1">
      <c r="A673" s="2">
        <v>65210751</v>
      </c>
      <c r="B673" s="2">
        <v>36</v>
      </c>
      <c r="C673" s="8">
        <v>8958333.3300000001</v>
      </c>
      <c r="D673" s="8">
        <v>4755279.68</v>
      </c>
      <c r="E673" s="8">
        <v>570633.5700000003</v>
      </c>
      <c r="F673" s="8">
        <v>14284246.58</v>
      </c>
      <c r="G673" s="7">
        <v>46556</v>
      </c>
      <c r="H673" s="1" t="s">
        <v>26</v>
      </c>
      <c r="I673" s="1" t="str">
        <f>IF(G673&lt;=$K$1,"Pagado","Pendiente")</f>
        <v>Pendiente</v>
      </c>
    </row>
    <row r="674" spans="1:9" hidden="1">
      <c r="A674" s="2">
        <v>23430</v>
      </c>
      <c r="B674" s="2">
        <v>35</v>
      </c>
      <c r="C674" s="8">
        <v>910613.16</v>
      </c>
      <c r="D674" s="8">
        <v>3678811.09</v>
      </c>
      <c r="E674" s="8">
        <v>441457.33</v>
      </c>
      <c r="F674" s="8">
        <v>5030881.58</v>
      </c>
      <c r="G674" s="7">
        <v>46557</v>
      </c>
      <c r="H674" s="1" t="s">
        <v>31</v>
      </c>
      <c r="I674" s="1" t="str">
        <f>IF(G674&lt;=$K$1,"Pagado","Pendiente")</f>
        <v>Pendiente</v>
      </c>
    </row>
    <row r="675" spans="1:9" hidden="1">
      <c r="A675" s="2">
        <v>23467</v>
      </c>
      <c r="B675" s="2">
        <v>34</v>
      </c>
      <c r="C675" s="8">
        <v>3414799.39</v>
      </c>
      <c r="D675" s="8">
        <v>13795541.57</v>
      </c>
      <c r="E675" s="8">
        <v>1655464.98</v>
      </c>
      <c r="F675" s="8">
        <v>18865805.940000001</v>
      </c>
      <c r="G675" s="7">
        <v>46557</v>
      </c>
      <c r="H675" s="1" t="s">
        <v>31</v>
      </c>
      <c r="I675" s="1" t="str">
        <f>IF(G675&lt;=$K$1,"Pagado","Pendiente")</f>
        <v>Pendiente</v>
      </c>
    </row>
    <row r="676" spans="1:9" hidden="1">
      <c r="A676" s="2">
        <v>394949</v>
      </c>
      <c r="B676" s="2">
        <v>30</v>
      </c>
      <c r="C676" s="8">
        <v>1475697.5</v>
      </c>
      <c r="D676" s="8">
        <v>3430619.79</v>
      </c>
      <c r="E676" s="8">
        <v>411674.36</v>
      </c>
      <c r="F676" s="8">
        <v>5317991.6500000004</v>
      </c>
      <c r="G676" s="7">
        <v>46564</v>
      </c>
      <c r="H676" s="1" t="s">
        <v>30</v>
      </c>
      <c r="I676" s="1" t="str">
        <f>IF(G676&lt;=$K$1,"Pagado","Pendiente")</f>
        <v>Pendiente</v>
      </c>
    </row>
    <row r="677" spans="1:9" hidden="1">
      <c r="A677" s="2">
        <v>347916</v>
      </c>
      <c r="B677" s="2">
        <v>36</v>
      </c>
      <c r="C677" s="8">
        <v>3710885.83302062</v>
      </c>
      <c r="D677" s="8">
        <v>4742297.9352388065</v>
      </c>
      <c r="E677" s="8">
        <v>569075.75222865678</v>
      </c>
      <c r="F677" s="8">
        <v>9022259.5204880834</v>
      </c>
      <c r="G677" s="7">
        <v>46565</v>
      </c>
      <c r="H677" s="1" t="s">
        <v>30</v>
      </c>
      <c r="I677" s="1" t="str">
        <f>IF(G677&lt;=$K$1,"Pagado","Pendiente")</f>
        <v>Pendiente</v>
      </c>
    </row>
    <row r="678" spans="1:9" hidden="1">
      <c r="A678" s="2">
        <v>2537844</v>
      </c>
      <c r="B678" s="2">
        <v>39</v>
      </c>
      <c r="C678" s="8">
        <v>2500000</v>
      </c>
      <c r="D678" s="8">
        <v>636986.27500000002</v>
      </c>
      <c r="E678" s="8">
        <v>76438.353000000003</v>
      </c>
      <c r="F678" s="8">
        <v>3213424.628</v>
      </c>
      <c r="G678" s="7">
        <v>46565</v>
      </c>
      <c r="H678" s="1" t="s">
        <v>29</v>
      </c>
      <c r="I678" s="1" t="str">
        <f>IF(G678&lt;=$K$1,"Pagado","Pendiente")</f>
        <v>Pendiente</v>
      </c>
    </row>
    <row r="679" spans="1:9" hidden="1">
      <c r="A679" s="2">
        <v>843950300</v>
      </c>
      <c r="B679" s="2">
        <v>32</v>
      </c>
      <c r="C679" s="8">
        <v>3496186.21</v>
      </c>
      <c r="D679" s="8">
        <v>4279183.1900000004</v>
      </c>
      <c r="E679" s="8">
        <f>+F679-D679-C679</f>
        <v>513501.97999999952</v>
      </c>
      <c r="F679" s="8">
        <v>8288871.3799999999</v>
      </c>
      <c r="G679" s="7">
        <v>46534</v>
      </c>
      <c r="H679" s="1" t="s">
        <v>24</v>
      </c>
      <c r="I679" s="1" t="str">
        <f>IF(G679&lt;=$K$1,"Pagado","Pendiente")</f>
        <v>Pendiente</v>
      </c>
    </row>
    <row r="680" spans="1:9" hidden="1">
      <c r="A680" s="2">
        <v>31295</v>
      </c>
      <c r="B680" s="2">
        <v>22</v>
      </c>
      <c r="C680" s="8">
        <v>2520266.34</v>
      </c>
      <c r="D680" s="8">
        <v>4739753.88</v>
      </c>
      <c r="E680" s="8">
        <v>568770.47</v>
      </c>
      <c r="F680" s="8">
        <v>7828790.6900000004</v>
      </c>
      <c r="G680" s="7">
        <v>46322</v>
      </c>
      <c r="H680" s="1" t="s">
        <v>35</v>
      </c>
      <c r="I680" s="1" t="str">
        <f>IF(G680&lt;=$K$1,"Pagado","Pendiente")</f>
        <v>Pendiente</v>
      </c>
    </row>
    <row r="681" spans="1:9" hidden="1">
      <c r="A681" s="2">
        <v>20466</v>
      </c>
      <c r="B681" s="2">
        <v>58</v>
      </c>
      <c r="C681" s="8">
        <v>874319.81521077128</v>
      </c>
      <c r="D681" s="8">
        <v>487841.96857601451</v>
      </c>
      <c r="E681" s="8">
        <f>+D681*0.12</f>
        <v>58541.036229121739</v>
      </c>
      <c r="F681" s="8">
        <f>+C681+D681+E681</f>
        <v>1420702.8200159075</v>
      </c>
      <c r="G681" s="7">
        <v>46568</v>
      </c>
      <c r="H681" s="1" t="s">
        <v>31</v>
      </c>
      <c r="I681" s="1" t="str">
        <f>IF(G681&lt;=$K$1,"Pagado","Pendiente")</f>
        <v>Pendiente</v>
      </c>
    </row>
    <row r="682" spans="1:9" hidden="1">
      <c r="A682" s="2">
        <v>66235635</v>
      </c>
      <c r="B682" s="2">
        <v>36</v>
      </c>
      <c r="C682" s="8">
        <v>7916666.6699999999</v>
      </c>
      <c r="D682" s="8">
        <v>4066780.82</v>
      </c>
      <c r="E682" s="8">
        <v>488013.69999999925</v>
      </c>
      <c r="F682" s="8">
        <v>12471461.189999999</v>
      </c>
      <c r="G682" s="7">
        <v>46570</v>
      </c>
      <c r="H682" s="1" t="s">
        <v>26</v>
      </c>
      <c r="I682" s="1" t="str">
        <f>IF(G682&lt;=$K$1,"Pagado","Pendiente")</f>
        <v>Pendiente</v>
      </c>
    </row>
    <row r="683" spans="1:9" hidden="1">
      <c r="A683" s="2">
        <v>22044</v>
      </c>
      <c r="B683" s="2">
        <v>47</v>
      </c>
      <c r="C683" s="8">
        <v>1266812.9988111942</v>
      </c>
      <c r="D683" s="8">
        <v>1465184.8520360538</v>
      </c>
      <c r="E683" s="8">
        <v>175822.18224432645</v>
      </c>
      <c r="F683" s="8">
        <v>2907820.0330915744</v>
      </c>
      <c r="G683" s="7">
        <v>46570</v>
      </c>
      <c r="H683" s="1" t="s">
        <v>31</v>
      </c>
      <c r="I683" s="1" t="str">
        <f>IF(G683&lt;=$K$1,"Pagado","Pendiente")</f>
        <v>Pendiente</v>
      </c>
    </row>
    <row r="684" spans="1:9" hidden="1">
      <c r="A684" s="2">
        <v>119980</v>
      </c>
      <c r="B684" s="2">
        <v>32</v>
      </c>
      <c r="C684" s="8">
        <v>14166666.67</v>
      </c>
      <c r="D684" s="8">
        <v>11165662.1</v>
      </c>
      <c r="E684" s="8">
        <f>+F684-D684-C684</f>
        <v>1339879.4499999993</v>
      </c>
      <c r="F684" s="8">
        <v>26672208.219999999</v>
      </c>
      <c r="G684" s="7">
        <v>46572</v>
      </c>
      <c r="H684" s="1" t="s">
        <v>26</v>
      </c>
      <c r="I684" s="1" t="str">
        <f>IF(G684&lt;=$K$1,"Pagado","Pendiente")</f>
        <v>Pendiente</v>
      </c>
    </row>
    <row r="685" spans="1:9" hidden="1">
      <c r="A685" s="2">
        <v>23700</v>
      </c>
      <c r="B685" s="2">
        <v>29</v>
      </c>
      <c r="C685" s="8">
        <v>17972347.039999999</v>
      </c>
      <c r="D685" s="8">
        <v>4649550.1900000004</v>
      </c>
      <c r="E685" s="8">
        <v>557946.02</v>
      </c>
      <c r="F685" s="8">
        <v>23179843.25</v>
      </c>
      <c r="G685" s="7">
        <v>46575</v>
      </c>
      <c r="H685" s="1" t="s">
        <v>31</v>
      </c>
      <c r="I685" s="1" t="str">
        <f>IF(G685&lt;=$K$1,"Pagado","Pendiente")</f>
        <v>Pendiente</v>
      </c>
    </row>
    <row r="686" spans="1:9" hidden="1">
      <c r="A686" s="2">
        <v>20828</v>
      </c>
      <c r="B686" s="2">
        <v>55</v>
      </c>
      <c r="C686" s="8">
        <v>1047753.6921804448</v>
      </c>
      <c r="D686" s="8">
        <v>735976.83342372801</v>
      </c>
      <c r="E686" s="8">
        <f>+D686*0.105</f>
        <v>77277.567509491433</v>
      </c>
      <c r="F686" s="8">
        <f>+C686+D686+E686</f>
        <v>1861008.0931136643</v>
      </c>
      <c r="G686" s="7">
        <v>46580</v>
      </c>
      <c r="H686" s="1" t="s">
        <v>31</v>
      </c>
      <c r="I686" s="1" t="str">
        <f>IF(G686&lt;=$K$1,"Pagado","Pendiente")</f>
        <v>Pendiente</v>
      </c>
    </row>
    <row r="687" spans="1:9" hidden="1">
      <c r="A687" s="2">
        <v>23996</v>
      </c>
      <c r="B687" s="2">
        <v>24</v>
      </c>
      <c r="C687" s="8">
        <v>1602551.13</v>
      </c>
      <c r="D687" s="8">
        <v>8954250.8000000007</v>
      </c>
      <c r="E687" s="8">
        <v>1075405.52</v>
      </c>
      <c r="F687" s="8">
        <f>+C687+D687+E687</f>
        <v>11632207.449999999</v>
      </c>
      <c r="G687" s="7">
        <v>46581</v>
      </c>
      <c r="H687" s="1" t="s">
        <v>31</v>
      </c>
      <c r="I687" s="1" t="str">
        <f>IF(G687&lt;=$K$1,"Pagado","Pendiente")</f>
        <v>Pendiente</v>
      </c>
    </row>
    <row r="688" spans="1:9" hidden="1">
      <c r="A688" s="2">
        <v>927328</v>
      </c>
      <c r="B688" s="2">
        <v>33</v>
      </c>
      <c r="C688" s="8">
        <v>7051875.5086067589</v>
      </c>
      <c r="D688" s="8">
        <v>6995144.1348591624</v>
      </c>
      <c r="E688" s="8">
        <v>839417.2961830995</v>
      </c>
      <c r="F688" s="8">
        <v>14886436.939649021</v>
      </c>
      <c r="G688" s="7">
        <v>46585</v>
      </c>
      <c r="H688" s="1" t="s">
        <v>32</v>
      </c>
      <c r="I688" s="1" t="str">
        <f>IF(G688&lt;=$K$1,"Pagado","Pendiente")</f>
        <v>Pendiente</v>
      </c>
    </row>
    <row r="689" spans="1:9" hidden="1">
      <c r="A689" s="2">
        <v>75472831</v>
      </c>
      <c r="B689" s="2">
        <v>33</v>
      </c>
      <c r="C689" s="8">
        <v>2083333.33</v>
      </c>
      <c r="D689" s="8">
        <v>1636529.68</v>
      </c>
      <c r="E689" s="8">
        <f>+F689-D689-C689</f>
        <v>196383.5700000003</v>
      </c>
      <c r="F689" s="8">
        <v>3916246.58</v>
      </c>
      <c r="G689" s="7">
        <v>46585</v>
      </c>
      <c r="H689" s="1" t="s">
        <v>26</v>
      </c>
      <c r="I689" s="1" t="str">
        <f>IF(G689&lt;=$K$1,"Pagado","Pendiente")</f>
        <v>Pendiente</v>
      </c>
    </row>
    <row r="690" spans="1:9" hidden="1">
      <c r="A690" s="2">
        <v>863502400</v>
      </c>
      <c r="B690" s="2">
        <v>23</v>
      </c>
      <c r="C690" s="8">
        <v>3502794.79</v>
      </c>
      <c r="D690" s="8">
        <v>6518792.4400000004</v>
      </c>
      <c r="E690" s="8">
        <v>782255.1</v>
      </c>
      <c r="F690" s="8">
        <v>10803842.33</v>
      </c>
      <c r="G690" s="7">
        <v>46343</v>
      </c>
      <c r="H690" s="1" t="s">
        <v>24</v>
      </c>
      <c r="I690" s="1" t="str">
        <f>IF(G690&lt;=$K$1,"Pagado","Pendiente")</f>
        <v>Pendiente</v>
      </c>
    </row>
    <row r="691" spans="1:9" hidden="1">
      <c r="A691" s="2">
        <v>863502600</v>
      </c>
      <c r="B691" s="2">
        <v>31</v>
      </c>
      <c r="C691" s="8">
        <v>2258743.85</v>
      </c>
      <c r="D691" s="8">
        <v>2924835.75</v>
      </c>
      <c r="E691" s="8">
        <v>350980.29</v>
      </c>
      <c r="F691" s="8">
        <v>5534559.8899999997</v>
      </c>
      <c r="G691" s="7">
        <v>46585</v>
      </c>
      <c r="H691" s="1" t="s">
        <v>24</v>
      </c>
      <c r="I691" s="1" t="str">
        <f>IF(G691&lt;=$K$1,"Pagado","Pendiente")</f>
        <v>Pendiente</v>
      </c>
    </row>
    <row r="692" spans="1:9" hidden="1">
      <c r="A692" s="2">
        <v>23790</v>
      </c>
      <c r="B692" s="2">
        <v>28</v>
      </c>
      <c r="C692" s="8">
        <v>17518426.324893542</v>
      </c>
      <c r="D692" s="8">
        <v>5276807.769771819</v>
      </c>
      <c r="E692" s="8">
        <v>633216.93237261823</v>
      </c>
      <c r="F692" s="8">
        <v>23428451.027037978</v>
      </c>
      <c r="G692" s="7">
        <v>46585</v>
      </c>
      <c r="H692" s="1" t="s">
        <v>31</v>
      </c>
      <c r="I692" s="1" t="str">
        <f>IF(G692&lt;=$K$1,"Pagado","Pendiente")</f>
        <v>Pendiente</v>
      </c>
    </row>
    <row r="693" spans="1:9" hidden="1">
      <c r="A693" s="2">
        <v>24004</v>
      </c>
      <c r="B693" s="2">
        <v>24</v>
      </c>
      <c r="C693" s="8">
        <v>1700342.76</v>
      </c>
      <c r="D693" s="8">
        <v>4074166.81</v>
      </c>
      <c r="E693" s="8">
        <v>489307.44</v>
      </c>
      <c r="F693" s="8">
        <v>6263817.0099999998</v>
      </c>
      <c r="G693" s="7">
        <v>46585</v>
      </c>
      <c r="H693" s="1" t="s">
        <v>31</v>
      </c>
      <c r="I693" s="1" t="str">
        <f>IF(G693&lt;=$K$1,"Pagado","Pendiente")</f>
        <v>Pendiente</v>
      </c>
    </row>
    <row r="694" spans="1:9" hidden="1">
      <c r="A694" s="2">
        <v>65210751</v>
      </c>
      <c r="B694" s="2">
        <v>37</v>
      </c>
      <c r="C694" s="8">
        <v>8958333.3300000001</v>
      </c>
      <c r="D694" s="8">
        <v>4565068.49</v>
      </c>
      <c r="E694" s="8">
        <v>547808.21999999881</v>
      </c>
      <c r="F694" s="8">
        <v>14071210.039999999</v>
      </c>
      <c r="G694" s="7">
        <v>46586</v>
      </c>
      <c r="H694" s="1" t="s">
        <v>26</v>
      </c>
      <c r="I694" s="1" t="str">
        <f>IF(G694&lt;=$K$1,"Pagado","Pendiente")</f>
        <v>Pendiente</v>
      </c>
    </row>
    <row r="695" spans="1:9" hidden="1">
      <c r="A695" s="2">
        <v>23430</v>
      </c>
      <c r="B695" s="2">
        <v>36</v>
      </c>
      <c r="C695" s="8">
        <v>940551.12</v>
      </c>
      <c r="D695" s="8">
        <v>3648873.13</v>
      </c>
      <c r="E695" s="8">
        <v>437864.78</v>
      </c>
      <c r="F695" s="8">
        <v>5027289.03</v>
      </c>
      <c r="G695" s="7">
        <v>46587</v>
      </c>
      <c r="H695" s="1" t="s">
        <v>31</v>
      </c>
      <c r="I695" s="1" t="str">
        <f>IF(G695&lt;=$K$1,"Pagado","Pendiente")</f>
        <v>Pendiente</v>
      </c>
    </row>
    <row r="696" spans="1:9" hidden="1">
      <c r="A696" s="2">
        <v>23467</v>
      </c>
      <c r="B696" s="2">
        <v>35</v>
      </c>
      <c r="C696" s="8">
        <v>3527066.76</v>
      </c>
      <c r="D696" s="8">
        <v>13683274.199999999</v>
      </c>
      <c r="E696" s="8">
        <v>1641992.9</v>
      </c>
      <c r="F696" s="8">
        <v>18852333.859999999</v>
      </c>
      <c r="G696" s="7">
        <v>46587</v>
      </c>
      <c r="H696" s="1" t="s">
        <v>31</v>
      </c>
      <c r="I696" s="1" t="str">
        <f>IF(G696&lt;=$K$1,"Pagado","Pendiente")</f>
        <v>Pendiente</v>
      </c>
    </row>
    <row r="697" spans="1:9" hidden="1">
      <c r="A697" s="2">
        <v>394949</v>
      </c>
      <c r="B697" s="2">
        <v>31</v>
      </c>
      <c r="C697" s="8">
        <v>1517508.93</v>
      </c>
      <c r="D697" s="8">
        <v>3388808.36</v>
      </c>
      <c r="E697" s="8">
        <v>406656.99</v>
      </c>
      <c r="F697" s="8">
        <v>5312974.28</v>
      </c>
      <c r="G697" s="7">
        <v>46594</v>
      </c>
      <c r="H697" s="1" t="s">
        <v>30</v>
      </c>
      <c r="I697" s="1" t="str">
        <f>IF(G697&lt;=$K$1,"Pagado","Pendiente")</f>
        <v>Pendiente</v>
      </c>
    </row>
    <row r="698" spans="1:9" hidden="1">
      <c r="A698" s="2">
        <v>347916</v>
      </c>
      <c r="B698" s="2">
        <v>37</v>
      </c>
      <c r="C698" s="8">
        <v>3794380.7642635833</v>
      </c>
      <c r="D698" s="8">
        <v>4658803.0039958432</v>
      </c>
      <c r="E698" s="8">
        <v>559056.36047950119</v>
      </c>
      <c r="F698" s="8">
        <v>9012240.1287389286</v>
      </c>
      <c r="G698" s="7">
        <v>46595</v>
      </c>
      <c r="H698" s="1" t="s">
        <v>30</v>
      </c>
      <c r="I698" s="1" t="str">
        <f>IF(G698&lt;=$K$1,"Pagado","Pendiente")</f>
        <v>Pendiente</v>
      </c>
    </row>
    <row r="699" spans="1:9" hidden="1">
      <c r="A699" s="2">
        <v>2537844</v>
      </c>
      <c r="B699" s="2">
        <v>40</v>
      </c>
      <c r="C699" s="8">
        <v>2500000</v>
      </c>
      <c r="D699" s="8">
        <v>573287.64749999996</v>
      </c>
      <c r="E699" s="8">
        <v>68794.517699999997</v>
      </c>
      <c r="F699" s="8">
        <v>3142082.1652000002</v>
      </c>
      <c r="G699" s="7">
        <v>46595</v>
      </c>
      <c r="H699" s="1" t="s">
        <v>29</v>
      </c>
      <c r="I699" s="1" t="str">
        <f>IF(G699&lt;=$K$1,"Pagado","Pendiente")</f>
        <v>Pendiente</v>
      </c>
    </row>
    <row r="700" spans="1:9" hidden="1">
      <c r="A700" s="2">
        <v>843950300</v>
      </c>
      <c r="B700" s="2">
        <v>33</v>
      </c>
      <c r="C700" s="8">
        <v>3593887.14</v>
      </c>
      <c r="D700" s="8">
        <v>4181482.26</v>
      </c>
      <c r="E700" s="8">
        <f>+F700-D700-C700</f>
        <v>501777.86999999965</v>
      </c>
      <c r="F700" s="8">
        <v>8277147.2699999996</v>
      </c>
      <c r="G700" s="7">
        <v>46565</v>
      </c>
      <c r="H700" s="1" t="s">
        <v>24</v>
      </c>
      <c r="I700" s="1" t="str">
        <f>IF(G700&lt;=$K$1,"Pagado","Pendiente")</f>
        <v>Pendiente</v>
      </c>
    </row>
    <row r="701" spans="1:9" hidden="1">
      <c r="A701" s="2">
        <v>31295</v>
      </c>
      <c r="B701" s="2">
        <v>23</v>
      </c>
      <c r="C701" s="8">
        <v>2589573.66</v>
      </c>
      <c r="D701" s="8">
        <v>4670446.5599999996</v>
      </c>
      <c r="E701" s="8">
        <v>560453.59</v>
      </c>
      <c r="F701" s="8">
        <v>7820473.8099999996</v>
      </c>
      <c r="G701" s="7">
        <v>46353</v>
      </c>
      <c r="H701" s="1" t="s">
        <v>35</v>
      </c>
      <c r="I701" s="1" t="str">
        <f>IF(G701&lt;=$K$1,"Pagado","Pendiente")</f>
        <v>Pendiente</v>
      </c>
    </row>
    <row r="702" spans="1:9" hidden="1">
      <c r="A702" s="2">
        <v>20466</v>
      </c>
      <c r="B702" s="2">
        <v>59</v>
      </c>
      <c r="C702" s="8">
        <v>900549.40966709447</v>
      </c>
      <c r="D702" s="8">
        <v>461612.37411969138</v>
      </c>
      <c r="E702" s="8">
        <f>+D702*0.12</f>
        <v>55393.484894362962</v>
      </c>
      <c r="F702" s="8">
        <f>+C702+D702+E702</f>
        <v>1417555.2686811488</v>
      </c>
      <c r="G702" s="7">
        <v>46599</v>
      </c>
      <c r="H702" s="1" t="s">
        <v>31</v>
      </c>
      <c r="I702" s="1" t="str">
        <f>IF(G702&lt;=$K$1,"Pagado","Pendiente")</f>
        <v>Pendiente</v>
      </c>
    </row>
    <row r="703" spans="1:9" hidden="1">
      <c r="A703" s="2">
        <v>66235635</v>
      </c>
      <c r="B703" s="2">
        <v>37</v>
      </c>
      <c r="C703" s="8">
        <v>7916666.6699999999</v>
      </c>
      <c r="D703" s="8">
        <v>4034246.57</v>
      </c>
      <c r="E703" s="8">
        <v>484109.58999999985</v>
      </c>
      <c r="F703" s="8">
        <v>12435022.83</v>
      </c>
      <c r="G703" s="7">
        <v>46601</v>
      </c>
      <c r="H703" s="1" t="s">
        <v>26</v>
      </c>
      <c r="I703" s="1" t="str">
        <f>IF(G703&lt;=$K$1,"Pagado","Pendiente")</f>
        <v>Pendiente</v>
      </c>
    </row>
    <row r="704" spans="1:9" hidden="1">
      <c r="A704" s="2">
        <v>22044</v>
      </c>
      <c r="B704" s="2">
        <v>48</v>
      </c>
      <c r="C704" s="8">
        <v>1304817.38877553</v>
      </c>
      <c r="D704" s="8">
        <v>1427180.4620717179</v>
      </c>
      <c r="E704" s="8">
        <v>171261.65544860615</v>
      </c>
      <c r="F704" s="8">
        <v>2903259.5062958542</v>
      </c>
      <c r="G704" s="7">
        <v>46601</v>
      </c>
      <c r="H704" s="1" t="s">
        <v>31</v>
      </c>
      <c r="I704" s="1" t="str">
        <f>IF(G704&lt;=$K$1,"Pagado","Pendiente")</f>
        <v>Pendiente</v>
      </c>
    </row>
    <row r="705" spans="1:10" hidden="1">
      <c r="A705" s="2">
        <v>119980</v>
      </c>
      <c r="B705" s="2">
        <v>33</v>
      </c>
      <c r="C705" s="8">
        <v>14166666.67</v>
      </c>
      <c r="D705" s="8">
        <v>10432876.710000001</v>
      </c>
      <c r="E705" s="8">
        <f>+F705-D705-C705</f>
        <v>1251945.1999999974</v>
      </c>
      <c r="F705" s="8">
        <v>25851488.579999998</v>
      </c>
      <c r="G705" s="7">
        <v>46603</v>
      </c>
      <c r="H705" s="1" t="s">
        <v>26</v>
      </c>
      <c r="I705" s="1" t="str">
        <f>IF(G705&lt;=$K$1,"Pagado","Pendiente")</f>
        <v>Pendiente</v>
      </c>
    </row>
    <row r="706" spans="1:10" hidden="1">
      <c r="A706" s="2">
        <v>23700</v>
      </c>
      <c r="B706" s="2">
        <v>30</v>
      </c>
      <c r="C706" s="8">
        <v>18496745.649999999</v>
      </c>
      <c r="D706" s="8">
        <v>4125151.58</v>
      </c>
      <c r="E706" s="8">
        <v>495018.19</v>
      </c>
      <c r="F706" s="8">
        <v>23116915.419999998</v>
      </c>
      <c r="G706" s="7">
        <v>46606</v>
      </c>
      <c r="H706" s="1" t="s">
        <v>31</v>
      </c>
      <c r="I706" s="1" t="str">
        <f>IF(G706&lt;=$K$1,"Pagado","Pendiente")</f>
        <v>Pendiente</v>
      </c>
    </row>
    <row r="707" spans="1:10" hidden="1">
      <c r="A707" s="2">
        <v>20828</v>
      </c>
      <c r="B707" s="2">
        <v>56</v>
      </c>
      <c r="C707" s="8">
        <v>1079186.3029458581</v>
      </c>
      <c r="D707" s="8">
        <v>704544.22265831474</v>
      </c>
      <c r="E707" s="8">
        <f>+D707*0.105</f>
        <v>73977.143379123052</v>
      </c>
      <c r="F707" s="8">
        <f>+C707+D707+E707</f>
        <v>1857707.6689832958</v>
      </c>
      <c r="G707" s="7">
        <v>46611</v>
      </c>
      <c r="H707" s="1" t="s">
        <v>31</v>
      </c>
      <c r="I707" s="1" t="str">
        <f>IF(G707&lt;=$K$1,"Pagado","Pendiente")</f>
        <v>Pendiente</v>
      </c>
    </row>
    <row r="708" spans="1:10" s="10" customFormat="1" hidden="1">
      <c r="A708" s="9">
        <v>30065708</v>
      </c>
      <c r="B708" s="9">
        <v>4</v>
      </c>
      <c r="C708" s="13">
        <v>12916666.66</v>
      </c>
      <c r="D708" s="13">
        <v>2641104.4553571427</v>
      </c>
      <c r="E708" s="13">
        <f>+D708*0.12</f>
        <v>316932.53464285709</v>
      </c>
      <c r="F708" s="13">
        <f>+C708+D708+E708</f>
        <v>15874703.649999999</v>
      </c>
      <c r="G708" s="11">
        <v>45733</v>
      </c>
      <c r="H708" s="10" t="s">
        <v>27</v>
      </c>
      <c r="I708" s="1" t="str">
        <f>IF(G708&lt;=$K$1,"Pagado","Pendiente")</f>
        <v>Pagado</v>
      </c>
      <c r="J708" s="15" t="s">
        <v>129</v>
      </c>
    </row>
    <row r="709" spans="1:10" s="10" customFormat="1" hidden="1">
      <c r="A709" s="9">
        <v>30065708</v>
      </c>
      <c r="B709" s="9">
        <v>5</v>
      </c>
      <c r="C709" s="13">
        <v>12916666.66</v>
      </c>
      <c r="D709" s="13">
        <v>2955616.44</v>
      </c>
      <c r="E709" s="13">
        <f>+F709-D709-C709</f>
        <v>170768.95000000112</v>
      </c>
      <c r="F709" s="13">
        <v>16043052.050000001</v>
      </c>
      <c r="G709" s="11">
        <v>45762</v>
      </c>
      <c r="H709" s="10" t="s">
        <v>27</v>
      </c>
      <c r="I709" s="1" t="str">
        <f>IF(G709&lt;=$K$1,"Pagado","Pendiente")</f>
        <v>Pagado</v>
      </c>
      <c r="J709" s="15" t="s">
        <v>129</v>
      </c>
    </row>
    <row r="710" spans="1:10" s="10" customFormat="1" hidden="1">
      <c r="A710" s="9">
        <v>30065708</v>
      </c>
      <c r="B710" s="9">
        <v>6</v>
      </c>
      <c r="C710" s="13">
        <v>12916666.66</v>
      </c>
      <c r="D710" s="13">
        <v>2215517.9821428573</v>
      </c>
      <c r="E710" s="13">
        <f>+F710-D710-C710</f>
        <v>265862.15785714239</v>
      </c>
      <c r="F710" s="13">
        <v>15398046.800000001</v>
      </c>
      <c r="G710" s="11">
        <v>45792</v>
      </c>
      <c r="H710" s="10" t="s">
        <v>27</v>
      </c>
      <c r="I710" s="1" t="str">
        <f>IF(G710&lt;=$K$1,"Pagado","Pendiente")</f>
        <v>Pagado</v>
      </c>
      <c r="J710" s="15" t="s">
        <v>129</v>
      </c>
    </row>
    <row r="711" spans="1:10" s="10" customFormat="1" hidden="1">
      <c r="A711" s="9">
        <v>30065708</v>
      </c>
      <c r="B711" s="9">
        <v>7</v>
      </c>
      <c r="C711" s="13">
        <v>12916666.66</v>
      </c>
      <c r="D711" s="13">
        <v>2194019.6964285718</v>
      </c>
      <c r="E711" s="13">
        <f>+D711*0.12</f>
        <v>263282.36357142864</v>
      </c>
      <c r="F711" s="13">
        <f>+C711+D711+E711</f>
        <v>15373968.719999999</v>
      </c>
      <c r="G711" s="11">
        <v>45825</v>
      </c>
      <c r="H711" s="10" t="s">
        <v>27</v>
      </c>
      <c r="I711" s="1" t="str">
        <f>IF(G711&lt;=$K$1,"Pagado","Pendiente")</f>
        <v>Pagado</v>
      </c>
      <c r="J711" s="15" t="s">
        <v>129</v>
      </c>
    </row>
    <row r="712" spans="1:10" s="10" customFormat="1" hidden="1">
      <c r="A712" s="2">
        <v>30065708</v>
      </c>
      <c r="B712" s="2">
        <v>8</v>
      </c>
      <c r="C712" s="8">
        <v>12916666.66</v>
      </c>
      <c r="D712" s="8">
        <v>1719863.01</v>
      </c>
      <c r="E712" s="8">
        <f>+F712-D712-C712</f>
        <v>99369.859999999404</v>
      </c>
      <c r="F712" s="8">
        <v>14735899.529999999</v>
      </c>
      <c r="G712" s="7">
        <v>45852</v>
      </c>
      <c r="H712" s="1" t="s">
        <v>27</v>
      </c>
      <c r="I712" s="1" t="str">
        <f>IF(G712&lt;=$K$1,"Pagado","Pendiente")</f>
        <v>Pagado</v>
      </c>
      <c r="J712" s="15" t="s">
        <v>129</v>
      </c>
    </row>
    <row r="713" spans="1:10" s="10" customFormat="1" hidden="1">
      <c r="A713" s="2">
        <v>30065708</v>
      </c>
      <c r="B713" s="2">
        <v>9</v>
      </c>
      <c r="C713" s="8">
        <v>12916666.66</v>
      </c>
      <c r="D713" s="8">
        <v>1260702.0535714291</v>
      </c>
      <c r="E713" s="8">
        <f>+D713*0.12</f>
        <v>151284.2464285715</v>
      </c>
      <c r="F713" s="8">
        <f>+C713+D713+E713</f>
        <v>14328652.960000001</v>
      </c>
      <c r="G713" s="7">
        <v>45882</v>
      </c>
      <c r="H713" s="1" t="s">
        <v>27</v>
      </c>
      <c r="I713" s="1" t="str">
        <f>IF(G713&lt;=$K$1,"Pagado","Pendiente")</f>
        <v>Pagado</v>
      </c>
      <c r="J713" s="15" t="s">
        <v>129</v>
      </c>
    </row>
    <row r="714" spans="1:10" s="10" customFormat="1" hidden="1">
      <c r="A714" s="2">
        <v>30065708</v>
      </c>
      <c r="B714" s="2">
        <v>10</v>
      </c>
      <c r="C714" s="8">
        <v>12916666.66</v>
      </c>
      <c r="D714" s="8">
        <v>1146575.3400000001</v>
      </c>
      <c r="E714" s="8">
        <f>+F714-D714-C714</f>
        <v>66246.570000000298</v>
      </c>
      <c r="F714" s="8">
        <v>14129488.57</v>
      </c>
      <c r="G714" s="7">
        <v>45912</v>
      </c>
      <c r="H714" s="1" t="s">
        <v>27</v>
      </c>
      <c r="I714" s="1" t="str">
        <f>IF(G714&lt;=$K$1,"Pagado","Pendiente")</f>
        <v>Pagado</v>
      </c>
      <c r="J714" s="15" t="s">
        <v>129</v>
      </c>
    </row>
    <row r="715" spans="1:10" hidden="1">
      <c r="A715" s="2">
        <v>30065708</v>
      </c>
      <c r="B715" s="2">
        <v>11</v>
      </c>
      <c r="C715" s="8">
        <v>12916666.66</v>
      </c>
      <c r="D715" s="8">
        <v>1168339.0446428575</v>
      </c>
      <c r="E715" s="8">
        <v>140200.68535714288</v>
      </c>
      <c r="F715" s="8">
        <f>C715+D715+E715</f>
        <v>14225206.390000001</v>
      </c>
      <c r="G715" s="7">
        <v>45943</v>
      </c>
      <c r="H715" s="1" t="s">
        <v>27</v>
      </c>
      <c r="I715" s="1" t="str">
        <f>IF(G715&lt;=$K$1,"Pagado","Pendiente")</f>
        <v>Pagado</v>
      </c>
      <c r="J715" s="15" t="s">
        <v>129</v>
      </c>
    </row>
    <row r="716" spans="1:10" hidden="1">
      <c r="A716" s="2">
        <v>30065708</v>
      </c>
      <c r="B716" s="2">
        <v>12</v>
      </c>
      <c r="C716" s="8">
        <v>12916666.66</v>
      </c>
      <c r="D716" s="8">
        <v>369452.05</v>
      </c>
      <c r="E716" s="8">
        <f>+F716-D716-C716</f>
        <v>21346.11999999918</v>
      </c>
      <c r="F716" s="8">
        <v>13307464.83</v>
      </c>
      <c r="G716" s="7">
        <v>45972</v>
      </c>
      <c r="H716" s="1" t="s">
        <v>27</v>
      </c>
      <c r="I716" s="1" t="str">
        <f>IF(G716&lt;=$K$1,"Pagado","Pendiente")</f>
        <v>Pagado</v>
      </c>
      <c r="J716" s="15" t="s">
        <v>129</v>
      </c>
    </row>
    <row r="717" spans="1:10" hidden="1">
      <c r="A717" s="2">
        <v>23996</v>
      </c>
      <c r="B717" s="2">
        <v>25</v>
      </c>
      <c r="C717" s="8">
        <v>1652850.38</v>
      </c>
      <c r="D717" s="8">
        <v>8903951.5500000007</v>
      </c>
      <c r="E717" s="8">
        <v>1069364.58</v>
      </c>
      <c r="F717" s="8">
        <f>+C717+D717+E717</f>
        <v>11626166.51</v>
      </c>
      <c r="G717" s="7">
        <v>46612</v>
      </c>
      <c r="H717" s="1" t="s">
        <v>31</v>
      </c>
      <c r="I717" s="1" t="str">
        <f>IF(G717&lt;=$K$1,"Pagado","Pendiente")</f>
        <v>Pendiente</v>
      </c>
    </row>
    <row r="718" spans="1:10" hidden="1">
      <c r="A718" s="2">
        <v>927328</v>
      </c>
      <c r="B718" s="2">
        <v>34</v>
      </c>
      <c r="C718" s="8">
        <v>7227584.7400295427</v>
      </c>
      <c r="D718" s="8">
        <v>6819434.9034363786</v>
      </c>
      <c r="E718" s="8">
        <v>818332.18841236539</v>
      </c>
      <c r="F718" s="8">
        <v>14865351.831878286</v>
      </c>
      <c r="G718" s="7">
        <v>46616</v>
      </c>
      <c r="H718" s="1" t="s">
        <v>32</v>
      </c>
      <c r="I718" s="1" t="str">
        <f>IF(G718&lt;=$K$1,"Pagado","Pendiente")</f>
        <v>Pendiente</v>
      </c>
    </row>
    <row r="719" spans="1:10" hidden="1">
      <c r="A719" s="2">
        <v>75472831</v>
      </c>
      <c r="B719" s="2">
        <v>34</v>
      </c>
      <c r="C719" s="8">
        <v>2083333.33</v>
      </c>
      <c r="D719" s="8">
        <v>1430136.99</v>
      </c>
      <c r="E719" s="8">
        <f>+F719-D719-C719</f>
        <v>171616.4299999997</v>
      </c>
      <c r="F719" s="8">
        <v>3685086.75</v>
      </c>
      <c r="G719" s="7">
        <v>46616</v>
      </c>
      <c r="H719" s="1" t="s">
        <v>26</v>
      </c>
      <c r="I719" s="1" t="str">
        <f>IF(G719&lt;=$K$1,"Pagado","Pendiente")</f>
        <v>Pendiente</v>
      </c>
    </row>
    <row r="720" spans="1:10" s="10" customFormat="1" hidden="1">
      <c r="A720" s="9">
        <v>28343183</v>
      </c>
      <c r="B720" s="9">
        <v>7</v>
      </c>
      <c r="C720" s="13">
        <v>11111111.109999999</v>
      </c>
      <c r="D720" s="13">
        <v>3207305.8214285723</v>
      </c>
      <c r="E720" s="13">
        <f>+D720*0.12</f>
        <v>384876.69857142866</v>
      </c>
      <c r="F720" s="13">
        <f>+C720+D720+E720</f>
        <v>14703293.630000001</v>
      </c>
      <c r="G720" s="11">
        <v>45732</v>
      </c>
      <c r="H720" s="10" t="s">
        <v>27</v>
      </c>
      <c r="I720" s="1" t="str">
        <f>IF(G720&lt;=$K$1,"Pagado","Pendiente")</f>
        <v>Pagado</v>
      </c>
    </row>
    <row r="721" spans="1:10" s="10" customFormat="1" hidden="1">
      <c r="A721" s="9">
        <v>28343183</v>
      </c>
      <c r="B721" s="9">
        <v>8</v>
      </c>
      <c r="C721" s="13">
        <v>11111111.109999999</v>
      </c>
      <c r="D721" s="13">
        <v>3293302.89</v>
      </c>
      <c r="E721" s="13">
        <v>395196.24000000022</v>
      </c>
      <c r="F721" s="13">
        <v>14799610.24</v>
      </c>
      <c r="G721" s="11">
        <v>45763</v>
      </c>
      <c r="H721" s="10" t="s">
        <v>27</v>
      </c>
      <c r="I721" s="1" t="str">
        <f>IF(G721&lt;=$K$1,"Pagado","Pendiente")</f>
        <v>Pagado</v>
      </c>
    </row>
    <row r="722" spans="1:10" s="10" customFormat="1" hidden="1">
      <c r="A722" s="9">
        <v>28343183</v>
      </c>
      <c r="B722" s="9">
        <v>9</v>
      </c>
      <c r="C722" s="13">
        <v>11111111.109999999</v>
      </c>
      <c r="D722" s="13">
        <v>2682648.3035714296</v>
      </c>
      <c r="E722" s="13">
        <v>321917.79642857151</v>
      </c>
      <c r="F722" s="13">
        <v>14115677.210000001</v>
      </c>
      <c r="G722" s="11">
        <v>45793</v>
      </c>
      <c r="H722" s="10" t="s">
        <v>27</v>
      </c>
      <c r="I722" s="1" t="str">
        <f>IF(G722&lt;=$K$1,"Pagado","Pendiente")</f>
        <v>Pagado</v>
      </c>
    </row>
    <row r="723" spans="1:10" s="10" customFormat="1" hidden="1">
      <c r="A723" s="9">
        <v>28343183</v>
      </c>
      <c r="B723" s="9">
        <v>10</v>
      </c>
      <c r="C723" s="13">
        <v>11111111.109999999</v>
      </c>
      <c r="D723" s="13">
        <v>2558219.1071428573</v>
      </c>
      <c r="E723" s="13">
        <f>+D723*0.12</f>
        <v>306986.29285714286</v>
      </c>
      <c r="F723" s="13">
        <f>+C723+D723+E723</f>
        <v>13976316.51</v>
      </c>
      <c r="G723" s="11">
        <v>45824</v>
      </c>
      <c r="H723" s="10" t="s">
        <v>27</v>
      </c>
      <c r="I723" s="1" t="str">
        <f>IF(G723&lt;=$K$1,"Pagado","Pendiente")</f>
        <v>Pagado</v>
      </c>
    </row>
    <row r="724" spans="1:10" s="10" customFormat="1" hidden="1">
      <c r="A724" s="2">
        <v>28343183</v>
      </c>
      <c r="B724" s="2">
        <v>11</v>
      </c>
      <c r="C724" s="8">
        <v>11111111.109999999</v>
      </c>
      <c r="D724" s="8">
        <v>2651750.38</v>
      </c>
      <c r="E724" s="8">
        <v>318209.94999999925</v>
      </c>
      <c r="F724" s="8">
        <v>14081071.439999999</v>
      </c>
      <c r="G724" s="7">
        <v>45854</v>
      </c>
      <c r="H724" s="1" t="s">
        <v>27</v>
      </c>
      <c r="I724" s="1" t="str">
        <f>IF(G724&lt;=$K$1,"Pagado","Pendiente")</f>
        <v>Pagado</v>
      </c>
    </row>
    <row r="725" spans="1:10" s="10" customFormat="1" hidden="1">
      <c r="A725" s="2">
        <v>28343183</v>
      </c>
      <c r="B725" s="2">
        <v>12</v>
      </c>
      <c r="C725" s="8">
        <v>11111111.109999999</v>
      </c>
      <c r="D725" s="8">
        <v>1401997.7232142866</v>
      </c>
      <c r="E725" s="8">
        <f>+D725*0.12</f>
        <v>168239.72678571439</v>
      </c>
      <c r="F725" s="8">
        <f>+C725+D725+E725</f>
        <v>12681348.560000001</v>
      </c>
      <c r="G725" s="7">
        <v>45885</v>
      </c>
      <c r="H725" s="1" t="s">
        <v>27</v>
      </c>
      <c r="I725" s="1" t="str">
        <f>IF(G725&lt;=$K$1,"Pagado","Pendiente")</f>
        <v>Pagado</v>
      </c>
    </row>
    <row r="726" spans="1:10" s="10" customFormat="1" hidden="1">
      <c r="A726" s="2">
        <v>28343183</v>
      </c>
      <c r="B726" s="2">
        <v>13</v>
      </c>
      <c r="C726" s="8">
        <v>11111111.109999999</v>
      </c>
      <c r="D726" s="8">
        <v>1924657.53</v>
      </c>
      <c r="E726" s="8">
        <v>230958.85000000149</v>
      </c>
      <c r="F726" s="8">
        <v>13266727.49</v>
      </c>
      <c r="G726" s="7">
        <v>45916</v>
      </c>
      <c r="H726" s="1" t="s">
        <v>27</v>
      </c>
      <c r="I726" s="1" t="str">
        <f>IF(G726&lt;=$K$1,"Pagado","Pendiente")</f>
        <v>Pagado</v>
      </c>
    </row>
    <row r="727" spans="1:10" s="10" customFormat="1" hidden="1">
      <c r="A727" s="2">
        <v>28343183</v>
      </c>
      <c r="B727" s="2">
        <v>14</v>
      </c>
      <c r="C727" s="8">
        <v>11111111.109999999</v>
      </c>
      <c r="D727" s="8">
        <v>2347031.9732142859</v>
      </c>
      <c r="E727" s="8">
        <v>281643.83678571432</v>
      </c>
      <c r="F727" s="8">
        <f>C727+D727+E727</f>
        <v>13739786.92</v>
      </c>
      <c r="G727" s="7">
        <v>45946</v>
      </c>
      <c r="H727" s="1" t="s">
        <v>27</v>
      </c>
      <c r="I727" s="1" t="str">
        <f>IF(G727&lt;=$K$1,"Pagado","Pendiente")</f>
        <v>Pagado</v>
      </c>
    </row>
    <row r="728" spans="1:10" s="10" customFormat="1" hidden="1">
      <c r="A728" s="2">
        <v>28343183</v>
      </c>
      <c r="B728" s="2">
        <v>15</v>
      </c>
      <c r="C728" s="8">
        <v>11111111.109999999</v>
      </c>
      <c r="D728" s="8">
        <v>1086757.9910714296</v>
      </c>
      <c r="E728" s="8">
        <v>130410.95892857155</v>
      </c>
      <c r="F728" s="8">
        <f>C728+D728+E728</f>
        <v>12328280.060000001</v>
      </c>
      <c r="G728" s="7">
        <v>45977</v>
      </c>
      <c r="H728" s="1" t="s">
        <v>27</v>
      </c>
      <c r="I728" s="1" t="str">
        <f>IF(G728&lt;=$K$1,"Pagado","Pendiente")</f>
        <v>Pagado</v>
      </c>
    </row>
    <row r="729" spans="1:10" s="10" customFormat="1" hidden="1">
      <c r="A729" s="2">
        <v>28343183</v>
      </c>
      <c r="B729" s="2">
        <v>16</v>
      </c>
      <c r="C729" s="8">
        <v>11111111.109999999</v>
      </c>
      <c r="D729" s="8">
        <v>772260.09821428615</v>
      </c>
      <c r="E729" s="8">
        <v>92671.211785714346</v>
      </c>
      <c r="F729" s="8">
        <v>11976042.42</v>
      </c>
      <c r="G729" s="7">
        <v>46007</v>
      </c>
      <c r="H729" s="1" t="s">
        <v>27</v>
      </c>
      <c r="I729" s="1" t="str">
        <f>IF(G729&lt;=$K$1,"Pagado","Pendiente")</f>
        <v>Pagado</v>
      </c>
    </row>
    <row r="730" spans="1:10" hidden="1">
      <c r="A730" s="2">
        <v>28343183</v>
      </c>
      <c r="B730" s="2">
        <v>17</v>
      </c>
      <c r="C730" s="8">
        <v>11111111.109999999</v>
      </c>
      <c r="D730" s="8">
        <v>484018.24107142823</v>
      </c>
      <c r="E730" s="8">
        <v>58082.188928571384</v>
      </c>
      <c r="F730" s="8">
        <v>11653211.539999999</v>
      </c>
      <c r="G730" s="7">
        <v>46034</v>
      </c>
      <c r="H730" s="1" t="s">
        <v>27</v>
      </c>
      <c r="I730" s="1" t="str">
        <f>IF(G730&lt;=$K$1,"Pagado","Pendiente")</f>
        <v>Pagado</v>
      </c>
      <c r="J730" s="10"/>
    </row>
    <row r="731" spans="1:10" hidden="1">
      <c r="A731" s="2">
        <v>28343183</v>
      </c>
      <c r="B731" s="2">
        <v>18</v>
      </c>
      <c r="C731" s="8">
        <v>11111111.109999999</v>
      </c>
      <c r="D731" s="8">
        <v>331468.79999999999</v>
      </c>
      <c r="E731" s="8">
        <v>39776.240000000224</v>
      </c>
      <c r="F731" s="8">
        <v>11482356.15</v>
      </c>
      <c r="G731" s="7">
        <v>46062</v>
      </c>
      <c r="H731" s="1" t="s">
        <v>27</v>
      </c>
      <c r="I731" s="1" t="str">
        <f>IF(G731&lt;=$K$1,"Pagado","Pendiente")</f>
        <v>Pagado</v>
      </c>
      <c r="J731" s="10"/>
    </row>
    <row r="732" spans="1:10" hidden="1">
      <c r="A732" s="2">
        <v>863502400</v>
      </c>
      <c r="B732" s="2">
        <v>24</v>
      </c>
      <c r="C732" s="8">
        <v>3600680.39</v>
      </c>
      <c r="D732" s="8">
        <v>6420906.8399999999</v>
      </c>
      <c r="E732" s="8">
        <v>770508.82</v>
      </c>
      <c r="F732" s="8">
        <v>10792096.050000001</v>
      </c>
      <c r="G732" s="7">
        <v>46373</v>
      </c>
      <c r="H732" s="1" t="s">
        <v>24</v>
      </c>
      <c r="I732" s="1" t="str">
        <f>IF(G732&lt;=$K$1,"Pagado","Pendiente")</f>
        <v>Pendiente</v>
      </c>
    </row>
    <row r="733" spans="1:10" hidden="1">
      <c r="A733" s="2">
        <v>863502600</v>
      </c>
      <c r="B733" s="2">
        <v>32</v>
      </c>
      <c r="C733" s="8">
        <v>2321864.44</v>
      </c>
      <c r="D733" s="8">
        <v>2861715.16</v>
      </c>
      <c r="E733" s="8">
        <v>343405.82</v>
      </c>
      <c r="F733" s="8">
        <v>5526985.4199999999</v>
      </c>
      <c r="G733" s="7">
        <v>46616</v>
      </c>
      <c r="H733" s="1" t="s">
        <v>24</v>
      </c>
      <c r="I733" s="1" t="str">
        <f>IF(G733&lt;=$K$1,"Pagado","Pendiente")</f>
        <v>Pendiente</v>
      </c>
    </row>
    <row r="734" spans="1:10" hidden="1">
      <c r="A734" s="2">
        <v>23790</v>
      </c>
      <c r="B734" s="2">
        <v>29</v>
      </c>
      <c r="C734" s="8">
        <v>18038504.606413819</v>
      </c>
      <c r="D734" s="8">
        <v>4756729.4882515427</v>
      </c>
      <c r="E734" s="8">
        <v>570807.53859018511</v>
      </c>
      <c r="F734" s="8">
        <v>23366041.633255545</v>
      </c>
      <c r="G734" s="7">
        <v>46616</v>
      </c>
      <c r="H734" s="1" t="s">
        <v>31</v>
      </c>
      <c r="I734" s="1" t="str">
        <f>IF(G734&lt;=$K$1,"Pagado","Pendiente")</f>
        <v>Pendiente</v>
      </c>
    </row>
    <row r="735" spans="1:10" hidden="1">
      <c r="A735" s="2">
        <v>24004</v>
      </c>
      <c r="B735" s="2">
        <v>25</v>
      </c>
      <c r="C735" s="8">
        <v>1757467.28</v>
      </c>
      <c r="D735" s="8">
        <v>4017042.29</v>
      </c>
      <c r="E735" s="8">
        <v>482446.77</v>
      </c>
      <c r="F735" s="8">
        <v>6256956.3399999999</v>
      </c>
      <c r="G735" s="7">
        <v>46616</v>
      </c>
      <c r="H735" s="1" t="s">
        <v>31</v>
      </c>
      <c r="I735" s="1" t="str">
        <f>IF(G735&lt;=$K$1,"Pagado","Pendiente")</f>
        <v>Pendiente</v>
      </c>
    </row>
    <row r="736" spans="1:10" hidden="1">
      <c r="A736" s="2">
        <v>65210751</v>
      </c>
      <c r="B736" s="2">
        <v>38</v>
      </c>
      <c r="C736" s="8">
        <v>8958333.3300000001</v>
      </c>
      <c r="D736" s="8">
        <v>4233732.88</v>
      </c>
      <c r="E736" s="8">
        <v>508047.93999999948</v>
      </c>
      <c r="F736" s="8">
        <v>13700114.15</v>
      </c>
      <c r="G736" s="7">
        <v>46617</v>
      </c>
      <c r="H736" s="1" t="s">
        <v>26</v>
      </c>
      <c r="I736" s="1" t="str">
        <f>IF(G736&lt;=$K$1,"Pagado","Pendiente")</f>
        <v>Pendiente</v>
      </c>
    </row>
    <row r="737" spans="1:10" hidden="1">
      <c r="A737" s="2">
        <v>23430</v>
      </c>
      <c r="B737" s="2">
        <v>37</v>
      </c>
      <c r="C737" s="8">
        <v>971473.35</v>
      </c>
      <c r="D737" s="8">
        <v>3617950.9</v>
      </c>
      <c r="E737" s="8">
        <v>434154.1</v>
      </c>
      <c r="F737" s="8">
        <v>5023578.3499999996</v>
      </c>
      <c r="G737" s="7">
        <v>46618</v>
      </c>
      <c r="H737" s="1" t="s">
        <v>31</v>
      </c>
      <c r="I737" s="1" t="str">
        <f>IF(G737&lt;=$K$1,"Pagado","Pendiente")</f>
        <v>Pendiente</v>
      </c>
    </row>
    <row r="738" spans="1:10" s="10" customFormat="1" hidden="1">
      <c r="A738" s="9">
        <v>1725053</v>
      </c>
      <c r="B738" s="9">
        <v>1</v>
      </c>
      <c r="C738" s="13">
        <v>8045973.0800000001</v>
      </c>
      <c r="D738" s="13">
        <v>2522465.75</v>
      </c>
      <c r="E738" s="13">
        <f>+D738*0.12</f>
        <v>302695.89</v>
      </c>
      <c r="F738" s="13">
        <f>+E738+D738+C738</f>
        <v>10871134.720000001</v>
      </c>
      <c r="G738" s="19">
        <v>45698</v>
      </c>
      <c r="H738" s="10" t="s">
        <v>33</v>
      </c>
      <c r="I738" s="1" t="str">
        <f>IF(G738&lt;=$K$1,"Pagado","Pendiente")</f>
        <v>Pagado</v>
      </c>
      <c r="J738" s="10" t="s">
        <v>129</v>
      </c>
    </row>
    <row r="739" spans="1:10" s="10" customFormat="1" hidden="1">
      <c r="A739" s="9">
        <v>1725053</v>
      </c>
      <c r="B739" s="9">
        <v>2</v>
      </c>
      <c r="C739" s="13">
        <v>8895003.8200000003</v>
      </c>
      <c r="D739" s="13">
        <v>935493.72</v>
      </c>
      <c r="E739" s="13">
        <f>+D739*0.12</f>
        <v>112259.24639999999</v>
      </c>
      <c r="F739" s="13">
        <f>+E739+D739+C739</f>
        <v>9942756.7863999996</v>
      </c>
      <c r="G739" s="19">
        <v>45726</v>
      </c>
      <c r="H739" s="10" t="s">
        <v>33</v>
      </c>
      <c r="I739" s="1" t="str">
        <f>IF(G739&lt;=$K$1,"Pagado","Pendiente")</f>
        <v>Pagado</v>
      </c>
      <c r="J739" s="10" t="s">
        <v>129</v>
      </c>
    </row>
    <row r="740" spans="1:10" s="10" customFormat="1" hidden="1">
      <c r="A740" s="9">
        <v>1725053</v>
      </c>
      <c r="B740" s="9">
        <v>3</v>
      </c>
      <c r="C740" s="13">
        <v>9095697.3100000005</v>
      </c>
      <c r="D740" s="13">
        <v>786421.39</v>
      </c>
      <c r="E740" s="13">
        <f>+D740*0.12</f>
        <v>94370.566800000001</v>
      </c>
      <c r="F740" s="13">
        <f>+E740+D740+C740</f>
        <v>9976489.2668000013</v>
      </c>
      <c r="G740" s="19">
        <v>45757</v>
      </c>
      <c r="H740" s="10" t="s">
        <v>33</v>
      </c>
      <c r="I740" s="1" t="str">
        <f>IF(G740&lt;=$K$1,"Pagado","Pendiente")</f>
        <v>Pagado</v>
      </c>
      <c r="J740" s="10" t="s">
        <v>129</v>
      </c>
    </row>
    <row r="741" spans="1:10" s="10" customFormat="1" hidden="1">
      <c r="A741" s="9">
        <v>1725053</v>
      </c>
      <c r="B741" s="9">
        <v>4</v>
      </c>
      <c r="C741" s="13">
        <v>9354796.4800000004</v>
      </c>
      <c r="D741" s="13">
        <v>514347.74</v>
      </c>
      <c r="E741" s="13">
        <f>+D741*0.12</f>
        <v>61721.728799999997</v>
      </c>
      <c r="F741" s="13">
        <f>+E741+D741+C741</f>
        <v>9930865.9488000013</v>
      </c>
      <c r="G741" s="19">
        <v>45787</v>
      </c>
      <c r="H741" s="10" t="s">
        <v>33</v>
      </c>
      <c r="I741" s="1" t="str">
        <f>IF(G741&lt;=$K$1,"Pagado","Pendiente")</f>
        <v>Pagado</v>
      </c>
      <c r="J741" s="10" t="s">
        <v>129</v>
      </c>
    </row>
    <row r="742" spans="1:10" hidden="1">
      <c r="A742" s="2">
        <v>1725053</v>
      </c>
      <c r="B742" s="2">
        <v>5</v>
      </c>
      <c r="C742" s="8">
        <v>9608529.3100000005</v>
      </c>
      <c r="D742" s="8">
        <v>269302.07</v>
      </c>
      <c r="E742" s="8">
        <f>+D742*0.12</f>
        <v>32316.2484</v>
      </c>
      <c r="F742" s="8">
        <f>+E742+D742+C742</f>
        <v>9910147.6283999998</v>
      </c>
      <c r="G742" s="6">
        <v>45818</v>
      </c>
      <c r="H742" s="1" t="s">
        <v>33</v>
      </c>
      <c r="I742" s="1" t="str">
        <f>IF(G742&lt;=$K$1,"Pagado","Pendiente")</f>
        <v>Pagado</v>
      </c>
      <c r="J742" s="10" t="s">
        <v>129</v>
      </c>
    </row>
    <row r="743" spans="1:10" s="10" customFormat="1" hidden="1">
      <c r="A743" s="2">
        <v>863502400</v>
      </c>
      <c r="B743" s="2">
        <v>25</v>
      </c>
      <c r="C743" s="8">
        <v>3701301.4</v>
      </c>
      <c r="D743" s="8">
        <v>6320285.8300000001</v>
      </c>
      <c r="E743" s="8">
        <v>758434.3</v>
      </c>
      <c r="F743" s="8">
        <v>10780021.529999999</v>
      </c>
      <c r="G743" s="7">
        <v>46404</v>
      </c>
      <c r="H743" s="1" t="s">
        <v>24</v>
      </c>
      <c r="I743" s="1" t="str">
        <f>IF(G743&lt;=$K$1,"Pagado","Pendiente")</f>
        <v>Pendiente</v>
      </c>
    </row>
    <row r="744" spans="1:10" s="10" customFormat="1" hidden="1">
      <c r="A744" s="2">
        <v>863502400</v>
      </c>
      <c r="B744" s="2">
        <v>26</v>
      </c>
      <c r="C744" s="8">
        <v>3804734.27</v>
      </c>
      <c r="D744" s="8">
        <v>6216852.96</v>
      </c>
      <c r="E744" s="8">
        <v>746022.35</v>
      </c>
      <c r="F744" s="8">
        <v>10767609.58</v>
      </c>
      <c r="G744" s="7">
        <v>46435</v>
      </c>
      <c r="H744" s="1" t="s">
        <v>24</v>
      </c>
      <c r="I744" s="1" t="str">
        <f>IF(G744&lt;=$K$1,"Pagado","Pendiente")</f>
        <v>Pendiente</v>
      </c>
    </row>
    <row r="745" spans="1:10" s="10" customFormat="1" hidden="1">
      <c r="A745" s="2">
        <v>863502400</v>
      </c>
      <c r="B745" s="2">
        <v>27</v>
      </c>
      <c r="C745" s="8">
        <v>3911057.57</v>
      </c>
      <c r="D745" s="8">
        <v>6110529.6600000001</v>
      </c>
      <c r="E745" s="8">
        <v>733263.55</v>
      </c>
      <c r="F745" s="8">
        <v>10754850.779999999</v>
      </c>
      <c r="G745" s="7">
        <v>46463</v>
      </c>
      <c r="H745" s="1" t="s">
        <v>24</v>
      </c>
      <c r="I745" s="1" t="str">
        <f>IF(G745&lt;=$K$1,"Pagado","Pendiente")</f>
        <v>Pendiente</v>
      </c>
    </row>
    <row r="746" spans="1:10" s="10" customFormat="1" hidden="1">
      <c r="A746" s="2">
        <v>863502400</v>
      </c>
      <c r="B746" s="2">
        <v>28</v>
      </c>
      <c r="C746" s="8">
        <v>4020352.07</v>
      </c>
      <c r="D746" s="8">
        <v>6001235.1600000001</v>
      </c>
      <c r="E746" s="8">
        <v>720148.22</v>
      </c>
      <c r="F746" s="8">
        <v>10741735.449999999</v>
      </c>
      <c r="G746" s="7">
        <v>46494</v>
      </c>
      <c r="H746" s="1" t="s">
        <v>24</v>
      </c>
      <c r="I746" s="1" t="str">
        <f>IF(G746&lt;=$K$1,"Pagado","Pendiente")</f>
        <v>Pendiente</v>
      </c>
    </row>
    <row r="747" spans="1:10" s="10" customFormat="1" hidden="1">
      <c r="A747" s="2">
        <v>863502400</v>
      </c>
      <c r="B747" s="2">
        <v>29</v>
      </c>
      <c r="C747" s="8">
        <v>4132700.81</v>
      </c>
      <c r="D747" s="8">
        <v>5888886.4199999999</v>
      </c>
      <c r="E747" s="8">
        <v>706666.37</v>
      </c>
      <c r="F747" s="8">
        <v>10728253.6</v>
      </c>
      <c r="G747" s="7">
        <v>46524</v>
      </c>
      <c r="H747" s="1" t="s">
        <v>24</v>
      </c>
      <c r="I747" s="1" t="str">
        <f>IF(G747&lt;=$K$1,"Pagado","Pendiente")</f>
        <v>Pendiente</v>
      </c>
    </row>
    <row r="748" spans="1:10" s="10" customFormat="1" hidden="1">
      <c r="A748" s="2">
        <v>843950300</v>
      </c>
      <c r="B748" s="2">
        <v>34</v>
      </c>
      <c r="C748" s="8">
        <v>3694318.31</v>
      </c>
      <c r="D748" s="8">
        <v>4081051.09</v>
      </c>
      <c r="E748" s="8">
        <f>+F748-D748-C748</f>
        <v>489726.13000000035</v>
      </c>
      <c r="F748" s="8">
        <v>8265095.5300000003</v>
      </c>
      <c r="G748" s="7">
        <v>46595</v>
      </c>
      <c r="H748" s="1" t="s">
        <v>24</v>
      </c>
      <c r="I748" s="1" t="str">
        <f>IF(G748&lt;=$K$1,"Pagado","Pendiente")</f>
        <v>Pendiente</v>
      </c>
    </row>
    <row r="749" spans="1:10" hidden="1">
      <c r="A749" s="2">
        <v>863502400</v>
      </c>
      <c r="B749" s="2">
        <v>30</v>
      </c>
      <c r="C749" s="8">
        <v>4248189.13</v>
      </c>
      <c r="D749" s="8">
        <v>5773398.0999999996</v>
      </c>
      <c r="E749" s="8">
        <v>692807.77</v>
      </c>
      <c r="F749" s="8">
        <v>10714395</v>
      </c>
      <c r="G749" s="7">
        <v>46555</v>
      </c>
      <c r="H749" s="1" t="s">
        <v>24</v>
      </c>
      <c r="I749" s="1" t="str">
        <f>IF(G749&lt;=$K$1,"Pagado","Pendiente")</f>
        <v>Pendiente</v>
      </c>
    </row>
    <row r="750" spans="1:10" hidden="1">
      <c r="A750" s="2">
        <v>863502400</v>
      </c>
      <c r="B750" s="2">
        <v>31</v>
      </c>
      <c r="C750" s="8">
        <v>4366904.78</v>
      </c>
      <c r="D750" s="8">
        <v>5654682.4500000002</v>
      </c>
      <c r="E750" s="8">
        <v>678561.9</v>
      </c>
      <c r="F750" s="8">
        <v>10700149.130000001</v>
      </c>
      <c r="G750" s="7">
        <v>46585</v>
      </c>
      <c r="H750" s="1" t="s">
        <v>24</v>
      </c>
      <c r="I750" s="1" t="str">
        <f>IF(G750&lt;=$K$1,"Pagado","Pendiente")</f>
        <v>Pendiente</v>
      </c>
    </row>
    <row r="751" spans="1:10" hidden="1">
      <c r="A751" s="2">
        <v>23467</v>
      </c>
      <c r="B751" s="2">
        <v>36</v>
      </c>
      <c r="C751" s="8">
        <v>3643025.12</v>
      </c>
      <c r="D751" s="8">
        <v>13567315.84</v>
      </c>
      <c r="E751" s="8">
        <v>1628077.9</v>
      </c>
      <c r="F751" s="8">
        <v>18838418.859999999</v>
      </c>
      <c r="G751" s="7">
        <v>46618</v>
      </c>
      <c r="H751" s="1" t="s">
        <v>31</v>
      </c>
      <c r="I751" s="1" t="str">
        <f>IF(G751&lt;=$K$1,"Pagado","Pendiente")</f>
        <v>Pendiente</v>
      </c>
    </row>
    <row r="752" spans="1:10" hidden="1">
      <c r="A752" s="2">
        <v>394949</v>
      </c>
      <c r="B752" s="2">
        <v>32</v>
      </c>
      <c r="C752" s="8">
        <v>1560505.01</v>
      </c>
      <c r="D752" s="8">
        <v>3345812.28</v>
      </c>
      <c r="E752" s="8">
        <v>401497.46</v>
      </c>
      <c r="F752" s="8">
        <v>5307814.75</v>
      </c>
      <c r="G752" s="7">
        <v>46625</v>
      </c>
      <c r="H752" s="1" t="s">
        <v>30</v>
      </c>
      <c r="I752" s="1" t="str">
        <f>IF(G752&lt;=$K$1,"Pagado","Pendiente")</f>
        <v>Pendiente</v>
      </c>
    </row>
    <row r="753" spans="1:9" hidden="1">
      <c r="A753" s="2">
        <v>347916</v>
      </c>
      <c r="B753" s="2">
        <v>38</v>
      </c>
      <c r="C753" s="8">
        <v>3879754.3314595139</v>
      </c>
      <c r="D753" s="8">
        <v>4573429.4367999127</v>
      </c>
      <c r="E753" s="8">
        <v>548811.53241598955</v>
      </c>
      <c r="F753" s="8">
        <v>9001995.3006754164</v>
      </c>
      <c r="G753" s="7">
        <v>46626</v>
      </c>
      <c r="H753" s="1" t="s">
        <v>30</v>
      </c>
      <c r="I753" s="1" t="str">
        <f>IF(G753&lt;=$K$1,"Pagado","Pendiente")</f>
        <v>Pendiente</v>
      </c>
    </row>
    <row r="754" spans="1:9" hidden="1">
      <c r="A754" s="2">
        <v>2537844</v>
      </c>
      <c r="B754" s="2">
        <v>41</v>
      </c>
      <c r="C754" s="8">
        <v>2500000</v>
      </c>
      <c r="D754" s="8">
        <v>509589.02</v>
      </c>
      <c r="E754" s="8">
        <v>61150.682399999998</v>
      </c>
      <c r="F754" s="8">
        <v>3070739.7023999998</v>
      </c>
      <c r="G754" s="7">
        <v>46626</v>
      </c>
      <c r="H754" s="1" t="s">
        <v>29</v>
      </c>
      <c r="I754" s="1" t="str">
        <f>IF(G754&lt;=$K$1,"Pagado","Pendiente")</f>
        <v>Pendiente</v>
      </c>
    </row>
    <row r="755" spans="1:9" hidden="1">
      <c r="A755" s="2">
        <v>843950300</v>
      </c>
      <c r="B755" s="2">
        <v>35</v>
      </c>
      <c r="C755" s="8">
        <v>3797556.04</v>
      </c>
      <c r="D755" s="8">
        <v>3977813.36</v>
      </c>
      <c r="E755" s="8">
        <f>+F755-D755-C755</f>
        <v>477337.60000000056</v>
      </c>
      <c r="F755" s="8">
        <v>8252707</v>
      </c>
      <c r="G755" s="7">
        <v>46626</v>
      </c>
      <c r="H755" s="1" t="s">
        <v>24</v>
      </c>
      <c r="I755" s="1" t="str">
        <f>IF(G755&lt;=$K$1,"Pagado","Pendiente")</f>
        <v>Pendiente</v>
      </c>
    </row>
    <row r="756" spans="1:9" hidden="1">
      <c r="A756" s="2">
        <v>31295</v>
      </c>
      <c r="B756" s="2">
        <v>24</v>
      </c>
      <c r="C756" s="8">
        <v>2660786.94</v>
      </c>
      <c r="D756" s="8">
        <v>4599233.28</v>
      </c>
      <c r="E756" s="8">
        <v>551907.99</v>
      </c>
      <c r="F756" s="8">
        <v>7811928.21</v>
      </c>
      <c r="G756" s="7">
        <v>46383</v>
      </c>
      <c r="H756" s="1" t="s">
        <v>35</v>
      </c>
      <c r="I756" s="1" t="str">
        <f>IF(G756&lt;=$K$1,"Pagado","Pendiente")</f>
        <v>Pendiente</v>
      </c>
    </row>
    <row r="757" spans="1:9" hidden="1">
      <c r="A757" s="2">
        <v>20466</v>
      </c>
      <c r="B757" s="2">
        <v>60</v>
      </c>
      <c r="C757" s="8">
        <v>927565.89195710723</v>
      </c>
      <c r="D757" s="8">
        <v>434595.89182967856</v>
      </c>
      <c r="E757" s="8">
        <f>+D757*0.12</f>
        <v>52151.507019561424</v>
      </c>
      <c r="F757" s="8">
        <f>+C757+D757+E757</f>
        <v>1414313.2908063473</v>
      </c>
      <c r="G757" s="7">
        <v>46630</v>
      </c>
      <c r="H757" s="1" t="s">
        <v>31</v>
      </c>
      <c r="I757" s="1" t="str">
        <f>IF(G757&lt;=$K$1,"Pagado","Pendiente")</f>
        <v>Pendiente</v>
      </c>
    </row>
    <row r="758" spans="1:9" hidden="1">
      <c r="A758" s="2">
        <v>66235635</v>
      </c>
      <c r="B758" s="2">
        <v>38</v>
      </c>
      <c r="C758" s="8">
        <v>7916666.6699999999</v>
      </c>
      <c r="D758" s="8">
        <v>3866152.97</v>
      </c>
      <c r="E758" s="8">
        <v>463938.34999999963</v>
      </c>
      <c r="F758" s="8">
        <v>12246757.99</v>
      </c>
      <c r="G758" s="7">
        <v>46632</v>
      </c>
      <c r="H758" s="1" t="s">
        <v>26</v>
      </c>
      <c r="I758" s="1" t="str">
        <f>IF(G758&lt;=$K$1,"Pagado","Pendiente")</f>
        <v>Pendiente</v>
      </c>
    </row>
    <row r="759" spans="1:9" hidden="1">
      <c r="A759" s="2">
        <v>22044</v>
      </c>
      <c r="B759" s="2">
        <v>49</v>
      </c>
      <c r="C759" s="8">
        <v>1343961.9104387958</v>
      </c>
      <c r="D759" s="8">
        <v>1388035.9404084522</v>
      </c>
      <c r="E759" s="8">
        <v>166564.31284901427</v>
      </c>
      <c r="F759" s="8">
        <v>2898562.1636962621</v>
      </c>
      <c r="G759" s="7">
        <v>46632</v>
      </c>
      <c r="H759" s="1" t="s">
        <v>31</v>
      </c>
      <c r="I759" s="1" t="str">
        <f>IF(G759&lt;=$K$1,"Pagado","Pendiente")</f>
        <v>Pendiente</v>
      </c>
    </row>
    <row r="760" spans="1:9" hidden="1">
      <c r="A760" s="2">
        <v>119980</v>
      </c>
      <c r="B760" s="2">
        <v>34</v>
      </c>
      <c r="C760" s="8">
        <v>14166666.67</v>
      </c>
      <c r="D760" s="8">
        <v>11066301.369999999</v>
      </c>
      <c r="E760" s="8">
        <f>+F760-D760-C760</f>
        <v>1327956.1600000001</v>
      </c>
      <c r="F760" s="8">
        <v>26560924.199999999</v>
      </c>
      <c r="G760" s="7">
        <v>46634</v>
      </c>
      <c r="H760" s="1" t="s">
        <v>26</v>
      </c>
      <c r="I760" s="1" t="str">
        <f>IF(G760&lt;=$K$1,"Pagado","Pendiente")</f>
        <v>Pendiente</v>
      </c>
    </row>
    <row r="761" spans="1:9" hidden="1">
      <c r="A761" s="2">
        <v>23700</v>
      </c>
      <c r="B761" s="2">
        <v>31</v>
      </c>
      <c r="C761" s="8">
        <v>19036445.210000001</v>
      </c>
      <c r="D761" s="8">
        <v>3585452.02</v>
      </c>
      <c r="E761" s="8">
        <v>430254.24</v>
      </c>
      <c r="F761" s="8">
        <v>23052151.469999999</v>
      </c>
      <c r="G761" s="7">
        <v>46637</v>
      </c>
      <c r="H761" s="1" t="s">
        <v>31</v>
      </c>
      <c r="I761" s="1" t="str">
        <f>IF(G761&lt;=$K$1,"Pagado","Pendiente")</f>
        <v>Pendiente</v>
      </c>
    </row>
    <row r="762" spans="1:9" hidden="1">
      <c r="A762" s="2">
        <v>20828</v>
      </c>
      <c r="B762" s="2">
        <v>57</v>
      </c>
      <c r="C762" s="8">
        <v>1111561.892034234</v>
      </c>
      <c r="D762" s="8">
        <v>672168.63356993895</v>
      </c>
      <c r="E762" s="8">
        <f>+D762*0.105</f>
        <v>70577.706524843583</v>
      </c>
      <c r="F762" s="8">
        <f>+C762+D762+E762</f>
        <v>1854308.2321290167</v>
      </c>
      <c r="G762" s="7">
        <v>46642</v>
      </c>
      <c r="H762" s="1" t="s">
        <v>31</v>
      </c>
      <c r="I762" s="1" t="str">
        <f>IF(G762&lt;=$K$1,"Pagado","Pendiente")</f>
        <v>Pendiente</v>
      </c>
    </row>
    <row r="763" spans="1:9" hidden="1">
      <c r="A763" s="2">
        <v>23996</v>
      </c>
      <c r="B763" s="2">
        <v>26</v>
      </c>
      <c r="C763" s="8">
        <v>1704728.37</v>
      </c>
      <c r="D763" s="8">
        <v>8852073.5600000005</v>
      </c>
      <c r="E763" s="8">
        <v>1063134.03</v>
      </c>
      <c r="F763" s="8">
        <f>+C763+D763+E763</f>
        <v>11619935.959999999</v>
      </c>
      <c r="G763" s="7">
        <v>46643</v>
      </c>
      <c r="H763" s="1" t="s">
        <v>31</v>
      </c>
      <c r="I763" s="1" t="str">
        <f>IF(G763&lt;=$K$1,"Pagado","Pendiente")</f>
        <v>Pendiente</v>
      </c>
    </row>
    <row r="764" spans="1:9" hidden="1">
      <c r="A764" s="2">
        <v>927328</v>
      </c>
      <c r="B764" s="2">
        <v>35</v>
      </c>
      <c r="C764" s="8">
        <v>7407672.0598019455</v>
      </c>
      <c r="D764" s="8">
        <v>6639347.5836639758</v>
      </c>
      <c r="E764" s="8">
        <v>796721.7100396771</v>
      </c>
      <c r="F764" s="8">
        <v>14843741.353505598</v>
      </c>
      <c r="G764" s="7">
        <v>46647</v>
      </c>
      <c r="H764" s="1" t="s">
        <v>32</v>
      </c>
      <c r="I764" s="1" t="str">
        <f>IF(G764&lt;=$K$1,"Pagado","Pendiente")</f>
        <v>Pendiente</v>
      </c>
    </row>
    <row r="765" spans="1:9" hidden="1">
      <c r="A765" s="2">
        <v>75472831</v>
      </c>
      <c r="B765" s="2">
        <v>35</v>
      </c>
      <c r="C765" s="8">
        <v>2083333.33</v>
      </c>
      <c r="D765" s="8">
        <v>1472146.12</v>
      </c>
      <c r="E765" s="8">
        <f>+F765-D765-C765</f>
        <v>176657.5299999998</v>
      </c>
      <c r="F765" s="8">
        <v>3732136.98</v>
      </c>
      <c r="G765" s="7">
        <v>46647</v>
      </c>
      <c r="H765" s="1" t="s">
        <v>26</v>
      </c>
      <c r="I765" s="1" t="str">
        <f>IF(G765&lt;=$K$1,"Pagado","Pendiente")</f>
        <v>Pendiente</v>
      </c>
    </row>
    <row r="766" spans="1:9" hidden="1">
      <c r="A766" s="2">
        <v>863502400</v>
      </c>
      <c r="B766" s="2">
        <v>32</v>
      </c>
      <c r="C766" s="8">
        <v>4488937.93</v>
      </c>
      <c r="D766" s="8">
        <v>5532649.2999999998</v>
      </c>
      <c r="E766" s="8">
        <v>663917.92000000004</v>
      </c>
      <c r="F766" s="8">
        <v>10685505.15</v>
      </c>
      <c r="G766" s="7">
        <v>46616</v>
      </c>
      <c r="H766" s="1" t="s">
        <v>24</v>
      </c>
      <c r="I766" s="1" t="str">
        <f>IF(G766&lt;=$K$1,"Pagado","Pendiente")</f>
        <v>Pendiente</v>
      </c>
    </row>
    <row r="767" spans="1:9" hidden="1">
      <c r="A767" s="2">
        <v>863502600</v>
      </c>
      <c r="B767" s="2">
        <v>33</v>
      </c>
      <c r="C767" s="8">
        <v>2386748.9500000002</v>
      </c>
      <c r="D767" s="8">
        <v>2796830.65</v>
      </c>
      <c r="E767" s="8">
        <v>335619.68</v>
      </c>
      <c r="F767" s="8">
        <v>5519199.2800000003</v>
      </c>
      <c r="G767" s="7">
        <v>46647</v>
      </c>
      <c r="H767" s="1" t="s">
        <v>24</v>
      </c>
      <c r="I767" s="1" t="str">
        <f>IF(G767&lt;=$K$1,"Pagado","Pendiente")</f>
        <v>Pendiente</v>
      </c>
    </row>
    <row r="768" spans="1:9" hidden="1">
      <c r="A768" s="2">
        <v>23790</v>
      </c>
      <c r="B768" s="2">
        <v>30</v>
      </c>
      <c r="C768" s="8">
        <v>18574022.711916726</v>
      </c>
      <c r="D768" s="8">
        <v>4221211.3827486327</v>
      </c>
      <c r="E768" s="8">
        <v>506545.36592983594</v>
      </c>
      <c r="F768" s="8">
        <v>23301779.460595194</v>
      </c>
      <c r="G768" s="7">
        <v>46647</v>
      </c>
      <c r="H768" s="1" t="s">
        <v>31</v>
      </c>
      <c r="I768" s="1" t="str">
        <f>IF(G768&lt;=$K$1,"Pagado","Pendiente")</f>
        <v>Pendiente</v>
      </c>
    </row>
    <row r="769" spans="1:9" hidden="1">
      <c r="A769" s="2">
        <v>24004</v>
      </c>
      <c r="B769" s="2">
        <v>26</v>
      </c>
      <c r="C769" s="8">
        <v>1816510.96</v>
      </c>
      <c r="D769" s="8">
        <v>3957998.61</v>
      </c>
      <c r="E769" s="8">
        <v>475355.63</v>
      </c>
      <c r="F769" s="8">
        <v>6249865.2000000002</v>
      </c>
      <c r="G769" s="7">
        <v>46647</v>
      </c>
      <c r="H769" s="1" t="s">
        <v>31</v>
      </c>
      <c r="I769" s="1" t="str">
        <f>IF(G769&lt;=$K$1,"Pagado","Pendiente")</f>
        <v>Pendiente</v>
      </c>
    </row>
    <row r="770" spans="1:9" hidden="1">
      <c r="A770" s="2">
        <v>65210751</v>
      </c>
      <c r="B770" s="2">
        <v>39</v>
      </c>
      <c r="C770" s="8">
        <v>8958333.3300000001</v>
      </c>
      <c r="D770" s="8">
        <v>4454623.29</v>
      </c>
      <c r="E770" s="8">
        <v>534554.79999999888</v>
      </c>
      <c r="F770" s="8">
        <v>13947511.42</v>
      </c>
      <c r="G770" s="7">
        <v>46648</v>
      </c>
      <c r="H770" s="1" t="s">
        <v>26</v>
      </c>
      <c r="I770" s="1" t="str">
        <f>IF(G770&lt;=$K$1,"Pagado","Pendiente")</f>
        <v>Pendiente</v>
      </c>
    </row>
    <row r="771" spans="1:9" hidden="1">
      <c r="A771" s="2">
        <v>23430</v>
      </c>
      <c r="B771" s="2">
        <v>38</v>
      </c>
      <c r="C771" s="8">
        <v>1003412.2</v>
      </c>
      <c r="D771" s="8">
        <v>3586012.05</v>
      </c>
      <c r="E771" s="8">
        <v>430321.45</v>
      </c>
      <c r="F771" s="8">
        <v>5019745.7</v>
      </c>
      <c r="G771" s="7">
        <v>46649</v>
      </c>
      <c r="H771" s="1" t="s">
        <v>31</v>
      </c>
      <c r="I771" s="1" t="str">
        <f>IF(G771&lt;=$K$1,"Pagado","Pendiente")</f>
        <v>Pendiente</v>
      </c>
    </row>
    <row r="772" spans="1:9" hidden="1">
      <c r="A772" s="2">
        <v>23467</v>
      </c>
      <c r="B772" s="2">
        <v>37</v>
      </c>
      <c r="C772" s="8">
        <v>3762795.81</v>
      </c>
      <c r="D772" s="8">
        <v>13447545.15</v>
      </c>
      <c r="E772" s="8">
        <v>1613705.42</v>
      </c>
      <c r="F772" s="8">
        <v>18824046.379999999</v>
      </c>
      <c r="G772" s="7">
        <v>46649</v>
      </c>
      <c r="H772" s="1" t="s">
        <v>31</v>
      </c>
      <c r="I772" s="1" t="str">
        <f>IF(G772&lt;=$K$1,"Pagado","Pendiente")</f>
        <v>Pendiente</v>
      </c>
    </row>
    <row r="773" spans="1:9" hidden="1">
      <c r="A773" s="2">
        <v>394949</v>
      </c>
      <c r="B773" s="2">
        <v>33</v>
      </c>
      <c r="C773" s="8">
        <v>1604719.32</v>
      </c>
      <c r="D773" s="8">
        <v>3301597.97</v>
      </c>
      <c r="E773" s="8">
        <v>396191.74</v>
      </c>
      <c r="F773" s="8">
        <v>5302509.03</v>
      </c>
      <c r="G773" s="7">
        <v>46656</v>
      </c>
      <c r="H773" s="1" t="s">
        <v>30</v>
      </c>
      <c r="I773" s="1" t="str">
        <f>IF(G773&lt;=$K$1,"Pagado","Pendiente")</f>
        <v>Pendiente</v>
      </c>
    </row>
    <row r="774" spans="1:9" hidden="1">
      <c r="A774" s="2">
        <v>347916</v>
      </c>
      <c r="B774" s="2">
        <v>39</v>
      </c>
      <c r="C774" s="8">
        <v>3967048.803917353</v>
      </c>
      <c r="D774" s="8">
        <v>4486134.9643420735</v>
      </c>
      <c r="E774" s="8">
        <v>538336.19572104886</v>
      </c>
      <c r="F774" s="8">
        <v>8991519.9639804754</v>
      </c>
      <c r="G774" s="7">
        <v>46657</v>
      </c>
      <c r="H774" s="1" t="s">
        <v>30</v>
      </c>
      <c r="I774" s="1" t="str">
        <f>IF(G774&lt;=$K$1,"Pagado","Pendiente")</f>
        <v>Pendiente</v>
      </c>
    </row>
    <row r="775" spans="1:9" hidden="1">
      <c r="A775" s="2">
        <v>2537844</v>
      </c>
      <c r="B775" s="2">
        <v>42</v>
      </c>
      <c r="C775" s="8">
        <v>2500000</v>
      </c>
      <c r="D775" s="8">
        <v>445890.39250000002</v>
      </c>
      <c r="E775" s="8">
        <v>53506.847099999999</v>
      </c>
      <c r="F775" s="8">
        <v>2999397.2396</v>
      </c>
      <c r="G775" s="7">
        <v>46657</v>
      </c>
      <c r="H775" s="1" t="s">
        <v>29</v>
      </c>
      <c r="I775" s="1" t="str">
        <f>IF(G775&lt;=$K$1,"Pagado","Pendiente")</f>
        <v>Pendiente</v>
      </c>
    </row>
    <row r="776" spans="1:9" hidden="1">
      <c r="A776" s="2">
        <v>843950300</v>
      </c>
      <c r="B776" s="2">
        <v>36</v>
      </c>
      <c r="C776" s="8">
        <v>3903678.74</v>
      </c>
      <c r="D776" s="8">
        <v>3871690.66</v>
      </c>
      <c r="E776" s="8">
        <f>+F776-D776-C776</f>
        <v>464602.87999999989</v>
      </c>
      <c r="F776" s="8">
        <v>8239972.2800000003</v>
      </c>
      <c r="G776" s="7">
        <v>46657</v>
      </c>
      <c r="H776" s="1" t="s">
        <v>24</v>
      </c>
      <c r="I776" s="1" t="str">
        <f>IF(G776&lt;=$K$1,"Pagado","Pendiente")</f>
        <v>Pendiente</v>
      </c>
    </row>
    <row r="777" spans="1:9" hidden="1">
      <c r="A777" s="2">
        <v>31295</v>
      </c>
      <c r="B777" s="2">
        <v>25</v>
      </c>
      <c r="C777" s="8">
        <v>2733958.58</v>
      </c>
      <c r="D777" s="8">
        <v>4526061.6399999997</v>
      </c>
      <c r="E777" s="8">
        <v>543127.39</v>
      </c>
      <c r="F777" s="8">
        <v>7803147.6100000003</v>
      </c>
      <c r="G777" s="7">
        <v>46414</v>
      </c>
      <c r="H777" s="1" t="s">
        <v>35</v>
      </c>
      <c r="I777" s="1" t="str">
        <f>IF(G777&lt;=$K$1,"Pagado","Pendiente")</f>
        <v>Pendiente</v>
      </c>
    </row>
    <row r="778" spans="1:9" hidden="1">
      <c r="A778" s="2">
        <v>20466</v>
      </c>
      <c r="B778" s="2">
        <v>61</v>
      </c>
      <c r="C778" s="8">
        <v>955392.86871582048</v>
      </c>
      <c r="D778" s="8">
        <v>406768.9150709653</v>
      </c>
      <c r="E778" s="8">
        <f>+D778*0.12</f>
        <v>48812.269808515834</v>
      </c>
      <c r="F778" s="8">
        <f>+C778+D778+E778</f>
        <v>1410974.0535953017</v>
      </c>
      <c r="G778" s="7">
        <v>46660</v>
      </c>
      <c r="H778" s="1" t="s">
        <v>31</v>
      </c>
      <c r="I778" s="1" t="str">
        <f>IF(G778&lt;=$K$1,"Pagado","Pendiente")</f>
        <v>Pendiente</v>
      </c>
    </row>
    <row r="779" spans="1:9" hidden="1">
      <c r="A779" s="2">
        <v>66235635</v>
      </c>
      <c r="B779" s="2">
        <v>39</v>
      </c>
      <c r="C779" s="8">
        <v>7916666.6699999999</v>
      </c>
      <c r="D779" s="8">
        <v>3817351.6</v>
      </c>
      <c r="E779" s="8">
        <v>458082.19000000134</v>
      </c>
      <c r="F779" s="8">
        <v>12192100.460000001</v>
      </c>
      <c r="G779" s="7">
        <v>46662</v>
      </c>
      <c r="H779" s="1" t="s">
        <v>26</v>
      </c>
      <c r="I779" s="1" t="str">
        <f>IF(G779&lt;=$K$1,"Pagado","Pendiente")</f>
        <v>Pendiente</v>
      </c>
    </row>
    <row r="780" spans="1:9" hidden="1">
      <c r="A780" s="2">
        <v>22044</v>
      </c>
      <c r="B780" s="2">
        <v>50</v>
      </c>
      <c r="C780" s="8">
        <v>1384280.7677519599</v>
      </c>
      <c r="D780" s="8">
        <v>1347717.0830952881</v>
      </c>
      <c r="E780" s="8">
        <v>161726.04997143458</v>
      </c>
      <c r="F780" s="8">
        <v>2893723.9008186827</v>
      </c>
      <c r="G780" s="7">
        <v>46662</v>
      </c>
      <c r="H780" s="1" t="s">
        <v>31</v>
      </c>
      <c r="I780" s="1" t="str">
        <f>IF(G780&lt;=$K$1,"Pagado","Pendiente")</f>
        <v>Pendiente</v>
      </c>
    </row>
    <row r="781" spans="1:9" hidden="1">
      <c r="A781" s="2">
        <v>119980</v>
      </c>
      <c r="B781" s="2">
        <v>35</v>
      </c>
      <c r="C781" s="8">
        <v>14166666.67</v>
      </c>
      <c r="D781" s="8">
        <v>9041826.4800000004</v>
      </c>
      <c r="E781" s="8">
        <f>+F781-D781-C781</f>
        <v>1085019.1799999978</v>
      </c>
      <c r="F781" s="8">
        <v>24293512.329999998</v>
      </c>
      <c r="G781" s="7">
        <v>46664</v>
      </c>
      <c r="H781" s="1" t="s">
        <v>26</v>
      </c>
      <c r="I781" s="1" t="str">
        <f>IF(G781&lt;=$K$1,"Pagado","Pendiente")</f>
        <v>Pendiente</v>
      </c>
    </row>
    <row r="782" spans="1:9" hidden="1">
      <c r="A782" s="2">
        <v>23700</v>
      </c>
      <c r="B782" s="2">
        <v>32</v>
      </c>
      <c r="C782" s="8">
        <v>19591892.170000002</v>
      </c>
      <c r="D782" s="8">
        <v>3030005.06</v>
      </c>
      <c r="E782" s="8">
        <v>363600.61</v>
      </c>
      <c r="F782" s="8">
        <v>22985497.84</v>
      </c>
      <c r="G782" s="7">
        <v>46667</v>
      </c>
      <c r="H782" s="1" t="s">
        <v>31</v>
      </c>
      <c r="I782" s="1" t="str">
        <f>IF(G782&lt;=$K$1,"Pagado","Pendiente")</f>
        <v>Pendiente</v>
      </c>
    </row>
    <row r="783" spans="1:9" hidden="1">
      <c r="A783" s="2">
        <v>20828</v>
      </c>
      <c r="B783" s="2">
        <v>58</v>
      </c>
      <c r="C783" s="8">
        <v>1144908.7487952609</v>
      </c>
      <c r="D783" s="8">
        <v>638821.77680891193</v>
      </c>
      <c r="E783" s="8">
        <f>+D783*0.105</f>
        <v>67076.286564935755</v>
      </c>
      <c r="F783" s="8">
        <f>+C783+D783+E783</f>
        <v>1850806.8121691085</v>
      </c>
      <c r="G783" s="7">
        <v>46672</v>
      </c>
      <c r="H783" s="1" t="s">
        <v>31</v>
      </c>
      <c r="I783" s="1" t="str">
        <f>IF(G783&lt;=$K$1,"Pagado","Pendiente")</f>
        <v>Pendiente</v>
      </c>
    </row>
    <row r="784" spans="1:9" hidden="1">
      <c r="A784" s="2">
        <v>23996</v>
      </c>
      <c r="B784" s="2">
        <v>27</v>
      </c>
      <c r="C784" s="8">
        <v>1758234.66</v>
      </c>
      <c r="D784" s="8">
        <v>8798567.2699999996</v>
      </c>
      <c r="E784" s="8">
        <v>1056707.93</v>
      </c>
      <c r="F784" s="8">
        <f>+C784+D784+E784</f>
        <v>11613509.859999999</v>
      </c>
      <c r="G784" s="7">
        <v>46673</v>
      </c>
      <c r="H784" s="1" t="s">
        <v>31</v>
      </c>
      <c r="I784" s="1" t="str">
        <f>IF(G784&lt;=$K$1,"Pagado","Pendiente")</f>
        <v>Pendiente</v>
      </c>
    </row>
    <row r="785" spans="1:9" hidden="1">
      <c r="A785" s="2">
        <v>927328</v>
      </c>
      <c r="B785" s="2">
        <v>36</v>
      </c>
      <c r="C785" s="8">
        <v>7592246.5552920103</v>
      </c>
      <c r="D785" s="8">
        <v>6454773.088173911</v>
      </c>
      <c r="E785" s="8">
        <v>774572.77058086928</v>
      </c>
      <c r="F785" s="8">
        <v>14821592.41404679</v>
      </c>
      <c r="G785" s="7">
        <v>46677</v>
      </c>
      <c r="H785" s="1" t="s">
        <v>32</v>
      </c>
      <c r="I785" s="1" t="str">
        <f>IF(G785&lt;=$K$1,"Pagado","Pendiente")</f>
        <v>Pendiente</v>
      </c>
    </row>
    <row r="786" spans="1:9" hidden="1">
      <c r="A786" s="2">
        <v>75472831</v>
      </c>
      <c r="B786" s="2">
        <v>36</v>
      </c>
      <c r="C786" s="8">
        <v>2083333.33</v>
      </c>
      <c r="D786" s="8">
        <v>1415525.12</v>
      </c>
      <c r="E786" s="8">
        <f>+F786-D786-C786</f>
        <v>169863.02000000002</v>
      </c>
      <c r="F786" s="8">
        <v>3668721.47</v>
      </c>
      <c r="G786" s="7">
        <v>46677</v>
      </c>
      <c r="H786" s="1" t="s">
        <v>26</v>
      </c>
      <c r="I786" s="1" t="str">
        <f>IF(G786&lt;=$K$1,"Pagado","Pendiente")</f>
        <v>Pendiente</v>
      </c>
    </row>
    <row r="787" spans="1:9" hidden="1">
      <c r="A787" s="2">
        <v>863502400</v>
      </c>
      <c r="B787" s="2">
        <v>33</v>
      </c>
      <c r="C787" s="8">
        <v>4614381.3</v>
      </c>
      <c r="D787" s="8">
        <v>5407205.9299999997</v>
      </c>
      <c r="E787" s="8">
        <v>648864.71</v>
      </c>
      <c r="F787" s="8">
        <v>10670451.939999999</v>
      </c>
      <c r="G787" s="7">
        <v>46647</v>
      </c>
      <c r="H787" s="1" t="s">
        <v>24</v>
      </c>
      <c r="I787" s="1" t="str">
        <f>IF(G787&lt;=$K$1,"Pagado","Pendiente")</f>
        <v>Pendiente</v>
      </c>
    </row>
    <row r="788" spans="1:9" hidden="1">
      <c r="A788" s="2">
        <v>863502600</v>
      </c>
      <c r="B788" s="2">
        <v>34</v>
      </c>
      <c r="C788" s="8">
        <v>2453446.65</v>
      </c>
      <c r="D788" s="8">
        <v>2730132.95</v>
      </c>
      <c r="E788" s="8">
        <v>327615.95</v>
      </c>
      <c r="F788" s="8">
        <v>5511195.5499999998</v>
      </c>
      <c r="G788" s="7">
        <v>46677</v>
      </c>
      <c r="H788" s="1" t="s">
        <v>24</v>
      </c>
      <c r="I788" s="1" t="str">
        <f>IF(G788&lt;=$K$1,"Pagado","Pendiente")</f>
        <v>Pendiente</v>
      </c>
    </row>
    <row r="789" spans="1:9" hidden="1">
      <c r="A789" s="2">
        <v>23790</v>
      </c>
      <c r="B789" s="2">
        <v>31</v>
      </c>
      <c r="C789" s="8">
        <v>19125439.011176754</v>
      </c>
      <c r="D789" s="8">
        <v>3669795.0834886045</v>
      </c>
      <c r="E789" s="8">
        <v>440375.41001863254</v>
      </c>
      <c r="F789" s="8">
        <v>23235609.50468399</v>
      </c>
      <c r="G789" s="7">
        <v>46677</v>
      </c>
      <c r="H789" s="1" t="s">
        <v>31</v>
      </c>
      <c r="I789" s="1" t="str">
        <f>IF(G789&lt;=$K$1,"Pagado","Pendiente")</f>
        <v>Pendiente</v>
      </c>
    </row>
    <row r="790" spans="1:9" hidden="1">
      <c r="A790" s="2">
        <v>24004</v>
      </c>
      <c r="B790" s="2">
        <v>27</v>
      </c>
      <c r="C790" s="8">
        <v>1877538.26</v>
      </c>
      <c r="D790" s="8">
        <v>3896971.31</v>
      </c>
      <c r="E790" s="8">
        <v>468026.26</v>
      </c>
      <c r="F790" s="8">
        <v>6242535.8300000001</v>
      </c>
      <c r="G790" s="7">
        <v>46677</v>
      </c>
      <c r="H790" s="1" t="s">
        <v>31</v>
      </c>
      <c r="I790" s="1" t="str">
        <f>IF(G790&lt;=$K$1,"Pagado","Pendiente")</f>
        <v>Pendiente</v>
      </c>
    </row>
    <row r="791" spans="1:9" hidden="1">
      <c r="A791" s="2">
        <v>65210751</v>
      </c>
      <c r="B791" s="2">
        <v>40</v>
      </c>
      <c r="C791" s="8">
        <v>8958333.3300000001</v>
      </c>
      <c r="D791" s="8">
        <v>3607876.71</v>
      </c>
      <c r="E791" s="8">
        <v>432945.20000000112</v>
      </c>
      <c r="F791" s="8">
        <v>12999155.24</v>
      </c>
      <c r="G791" s="7">
        <v>46678</v>
      </c>
      <c r="H791" s="1" t="s">
        <v>26</v>
      </c>
      <c r="I791" s="1" t="str">
        <f>IF(G791&lt;=$K$1,"Pagado","Pendiente")</f>
        <v>Pendiente</v>
      </c>
    </row>
    <row r="792" spans="1:9" hidden="1">
      <c r="A792" s="2">
        <v>23430</v>
      </c>
      <c r="B792" s="2">
        <v>39</v>
      </c>
      <c r="C792" s="8">
        <v>1036401.1</v>
      </c>
      <c r="D792" s="8">
        <v>3553023.15</v>
      </c>
      <c r="E792" s="8">
        <v>426362.78</v>
      </c>
      <c r="F792" s="8">
        <v>5015787.03</v>
      </c>
      <c r="G792" s="7">
        <v>46679</v>
      </c>
      <c r="H792" s="1" t="s">
        <v>31</v>
      </c>
      <c r="I792" s="1" t="str">
        <f>IF(G792&lt;=$K$1,"Pagado","Pendiente")</f>
        <v>Pendiente</v>
      </c>
    </row>
    <row r="793" spans="1:9" hidden="1">
      <c r="A793" s="2">
        <v>23467</v>
      </c>
      <c r="B793" s="2">
        <v>38</v>
      </c>
      <c r="C793" s="8">
        <v>3886504.16</v>
      </c>
      <c r="D793" s="8">
        <v>13323836.800000001</v>
      </c>
      <c r="E793" s="8">
        <v>1598860.41</v>
      </c>
      <c r="F793" s="8">
        <v>18809201.370000001</v>
      </c>
      <c r="G793" s="7">
        <v>46679</v>
      </c>
      <c r="H793" s="1" t="s">
        <v>31</v>
      </c>
      <c r="I793" s="1" t="str">
        <f>IF(G793&lt;=$K$1,"Pagado","Pendiente")</f>
        <v>Pendiente</v>
      </c>
    </row>
    <row r="794" spans="1:9" hidden="1">
      <c r="A794" s="2">
        <v>394949</v>
      </c>
      <c r="B794" s="2">
        <v>34</v>
      </c>
      <c r="C794" s="8">
        <v>1650186.37</v>
      </c>
      <c r="D794" s="8">
        <v>3256130.92</v>
      </c>
      <c r="E794" s="8">
        <v>390735.7</v>
      </c>
      <c r="F794" s="8">
        <v>5297052.99</v>
      </c>
      <c r="G794" s="7">
        <v>46686</v>
      </c>
      <c r="H794" s="1" t="s">
        <v>30</v>
      </c>
      <c r="I794" s="1" t="str">
        <f>IF(G794&lt;=$K$1,"Pagado","Pendiente")</f>
        <v>Pendiente</v>
      </c>
    </row>
    <row r="795" spans="1:9" hidden="1">
      <c r="A795" s="2">
        <v>347916</v>
      </c>
      <c r="B795" s="2">
        <v>40</v>
      </c>
      <c r="C795" s="8">
        <v>4056307.4020054936</v>
      </c>
      <c r="D795" s="8">
        <v>4396876.3662539329</v>
      </c>
      <c r="E795" s="8">
        <v>527625.16395047191</v>
      </c>
      <c r="F795" s="8">
        <v>8980808.9322098978</v>
      </c>
      <c r="G795" s="7">
        <v>46687</v>
      </c>
      <c r="H795" s="1" t="s">
        <v>30</v>
      </c>
      <c r="I795" s="1" t="str">
        <f>IF(G795&lt;=$K$1,"Pagado","Pendiente")</f>
        <v>Pendiente</v>
      </c>
    </row>
    <row r="796" spans="1:9" hidden="1">
      <c r="A796" s="2">
        <v>2537844</v>
      </c>
      <c r="B796" s="2">
        <v>43</v>
      </c>
      <c r="C796" s="8">
        <v>2500000</v>
      </c>
      <c r="D796" s="8">
        <v>382191.76500000001</v>
      </c>
      <c r="E796" s="8">
        <v>45863.0118</v>
      </c>
      <c r="F796" s="8">
        <v>2928054.7768000001</v>
      </c>
      <c r="G796" s="7">
        <v>46687</v>
      </c>
      <c r="H796" s="1" t="s">
        <v>29</v>
      </c>
      <c r="I796" s="1" t="str">
        <f>IF(G796&lt;=$K$1,"Pagado","Pendiente")</f>
        <v>Pendiente</v>
      </c>
    </row>
    <row r="797" spans="1:9" hidden="1">
      <c r="A797" s="2">
        <v>843950300</v>
      </c>
      <c r="B797" s="2">
        <v>37</v>
      </c>
      <c r="C797" s="8">
        <v>4012767.04</v>
      </c>
      <c r="D797" s="8">
        <v>3762602.36</v>
      </c>
      <c r="E797" s="8">
        <f>+F797-D797-C797</f>
        <v>451512.29000000004</v>
      </c>
      <c r="F797" s="8">
        <v>8226881.6900000004</v>
      </c>
      <c r="G797" s="7">
        <v>46687</v>
      </c>
      <c r="H797" s="1" t="s">
        <v>24</v>
      </c>
      <c r="I797" s="1" t="str">
        <f>IF(G797&lt;=$K$1,"Pagado","Pendiente")</f>
        <v>Pendiente</v>
      </c>
    </row>
    <row r="798" spans="1:9" hidden="1">
      <c r="A798" s="2">
        <v>31295</v>
      </c>
      <c r="B798" s="2">
        <v>26</v>
      </c>
      <c r="C798" s="8">
        <v>2809142.44</v>
      </c>
      <c r="D798" s="8">
        <v>4450877.78</v>
      </c>
      <c r="E798" s="8">
        <v>534105.34</v>
      </c>
      <c r="F798" s="8">
        <v>7794125.5599999996</v>
      </c>
      <c r="G798" s="7">
        <v>46445</v>
      </c>
      <c r="H798" s="1" t="s">
        <v>35</v>
      </c>
      <c r="I798" s="1" t="str">
        <f>IF(G798&lt;=$K$1,"Pagado","Pendiente")</f>
        <v>Pendiente</v>
      </c>
    </row>
    <row r="799" spans="1:9" hidden="1">
      <c r="A799" s="2">
        <v>20466</v>
      </c>
      <c r="B799" s="2">
        <v>62</v>
      </c>
      <c r="C799" s="8">
        <v>984054.65477729519</v>
      </c>
      <c r="D799" s="8">
        <v>378107.12900949066</v>
      </c>
      <c r="E799" s="8">
        <f>+D799*0.12</f>
        <v>45372.855481138875</v>
      </c>
      <c r="F799" s="8">
        <f>+C799+D799+E799</f>
        <v>1407534.6392679247</v>
      </c>
      <c r="G799" s="7">
        <v>46691</v>
      </c>
      <c r="H799" s="1" t="s">
        <v>31</v>
      </c>
      <c r="I799" s="1" t="str">
        <f>IF(G799&lt;=$K$1,"Pagado","Pendiente")</f>
        <v>Pendiente</v>
      </c>
    </row>
    <row r="800" spans="1:9" hidden="1">
      <c r="A800" s="2">
        <v>66235635</v>
      </c>
      <c r="B800" s="2">
        <v>40</v>
      </c>
      <c r="C800" s="8">
        <v>7916666.6699999999</v>
      </c>
      <c r="D800" s="8">
        <v>3302226.03</v>
      </c>
      <c r="E800" s="8">
        <v>396267.12000000104</v>
      </c>
      <c r="F800" s="8">
        <v>11615159.82</v>
      </c>
      <c r="G800" s="7">
        <v>46693</v>
      </c>
      <c r="H800" s="1" t="s">
        <v>26</v>
      </c>
      <c r="I800" s="1" t="str">
        <f>IF(G800&lt;=$K$1,"Pagado","Pendiente")</f>
        <v>Pendiente</v>
      </c>
    </row>
    <row r="801" spans="1:9" hidden="1">
      <c r="A801" s="2">
        <v>22044</v>
      </c>
      <c r="B801" s="2">
        <v>51</v>
      </c>
      <c r="C801" s="8">
        <v>1425809.1907845186</v>
      </c>
      <c r="D801" s="8">
        <v>1306188.6600627294</v>
      </c>
      <c r="E801" s="8">
        <v>156742.63920752754</v>
      </c>
      <c r="F801" s="8">
        <v>2888740.4900547755</v>
      </c>
      <c r="G801" s="7">
        <v>46693</v>
      </c>
      <c r="H801" s="1" t="s">
        <v>31</v>
      </c>
      <c r="I801" s="1" t="str">
        <f>IF(G801&lt;=$K$1,"Pagado","Pendiente")</f>
        <v>Pendiente</v>
      </c>
    </row>
    <row r="802" spans="1:9" hidden="1">
      <c r="A802" s="2">
        <v>119980</v>
      </c>
      <c r="B802" s="2">
        <v>36</v>
      </c>
      <c r="C802" s="8">
        <v>14166666.67</v>
      </c>
      <c r="D802" s="8">
        <v>9625570.7699999996</v>
      </c>
      <c r="E802" s="8">
        <f>+F802-D802-C802</f>
        <v>1155068.4900000002</v>
      </c>
      <c r="F802" s="8">
        <v>24947305.93</v>
      </c>
      <c r="G802" s="7">
        <v>46695</v>
      </c>
      <c r="H802" s="1" t="s">
        <v>26</v>
      </c>
      <c r="I802" s="1" t="str">
        <f>IF(G802&lt;=$K$1,"Pagado","Pendiente")</f>
        <v>Pendiente</v>
      </c>
    </row>
    <row r="803" spans="1:9" s="10" customFormat="1" hidden="1">
      <c r="A803" s="9">
        <v>863502600</v>
      </c>
      <c r="B803" s="9">
        <v>1</v>
      </c>
      <c r="C803" s="13">
        <v>852104.6</v>
      </c>
      <c r="D803" s="13">
        <v>4331475</v>
      </c>
      <c r="E803" s="13">
        <v>519777.01</v>
      </c>
      <c r="F803" s="13">
        <v>5703356.6100000003</v>
      </c>
      <c r="G803" s="11">
        <v>45674</v>
      </c>
      <c r="H803" s="10" t="s">
        <v>24</v>
      </c>
      <c r="I803" s="1" t="str">
        <f>IF(G803&lt;=$K$1,"Pagado","Pendiente")</f>
        <v>Pagado</v>
      </c>
    </row>
    <row r="804" spans="1:9" s="10" customFormat="1" hidden="1">
      <c r="A804" s="9">
        <v>863502600</v>
      </c>
      <c r="B804" s="9">
        <v>2</v>
      </c>
      <c r="C804" s="13">
        <v>1015641.66</v>
      </c>
      <c r="D804" s="13">
        <v>4167937.94</v>
      </c>
      <c r="E804" s="13">
        <v>500152.55</v>
      </c>
      <c r="F804" s="13">
        <v>5683732.1500000004</v>
      </c>
      <c r="G804" s="11">
        <v>45705</v>
      </c>
      <c r="H804" s="10" t="s">
        <v>24</v>
      </c>
      <c r="I804" s="1" t="str">
        <f>IF(G804&lt;=$K$1,"Pagado","Pendiente")</f>
        <v>Pagado</v>
      </c>
    </row>
    <row r="805" spans="1:9" s="10" customFormat="1" hidden="1">
      <c r="A805" s="9">
        <v>863502600</v>
      </c>
      <c r="B805" s="9">
        <v>3</v>
      </c>
      <c r="C805" s="13">
        <v>1044023.77</v>
      </c>
      <c r="D805" s="13">
        <v>4139555.83</v>
      </c>
      <c r="E805" s="13">
        <v>496746.7</v>
      </c>
      <c r="F805" s="13">
        <v>5680326.2999999998</v>
      </c>
      <c r="G805" s="11">
        <v>45733</v>
      </c>
      <c r="H805" s="10" t="s">
        <v>24</v>
      </c>
      <c r="I805" s="1" t="str">
        <f>IF(G805&lt;=$K$1,"Pagado","Pendiente")</f>
        <v>Pagado</v>
      </c>
    </row>
    <row r="806" spans="1:9" s="10" customFormat="1" hidden="1">
      <c r="A806" s="9">
        <v>863502600</v>
      </c>
      <c r="B806" s="9">
        <v>4</v>
      </c>
      <c r="C806" s="13">
        <v>1073199.01</v>
      </c>
      <c r="D806" s="13">
        <v>4110380.59</v>
      </c>
      <c r="E806" s="13">
        <v>493245.67</v>
      </c>
      <c r="F806" s="13">
        <v>5676825.2699999996</v>
      </c>
      <c r="G806" s="11">
        <v>45764</v>
      </c>
      <c r="H806" s="10" t="s">
        <v>24</v>
      </c>
      <c r="I806" s="1" t="str">
        <f>IF(G806&lt;=$K$1,"Pagado","Pendiente")</f>
        <v>Pagado</v>
      </c>
    </row>
    <row r="807" spans="1:9" s="10" customFormat="1" hidden="1">
      <c r="A807" s="9">
        <v>863502600</v>
      </c>
      <c r="B807" s="9">
        <v>5</v>
      </c>
      <c r="C807" s="13">
        <v>1103189.56</v>
      </c>
      <c r="D807" s="13">
        <v>4080390.04</v>
      </c>
      <c r="E807" s="13">
        <v>489646.8</v>
      </c>
      <c r="F807" s="13">
        <v>5673226.4000000004</v>
      </c>
      <c r="G807" s="11">
        <v>45794</v>
      </c>
      <c r="H807" s="10" t="s">
        <v>24</v>
      </c>
      <c r="I807" s="1" t="str">
        <f>IF(G807&lt;=$K$1,"Pagado","Pendiente")</f>
        <v>Pagado</v>
      </c>
    </row>
    <row r="808" spans="1:9" hidden="1">
      <c r="A808" s="2">
        <v>863502400</v>
      </c>
      <c r="B808" s="2">
        <v>34</v>
      </c>
      <c r="C808" s="8">
        <v>4743330.1900000004</v>
      </c>
      <c r="D808" s="8">
        <v>5278257.04</v>
      </c>
      <c r="E808" s="8">
        <v>633390.85</v>
      </c>
      <c r="F808" s="8">
        <v>10654978.08</v>
      </c>
      <c r="G808" s="7">
        <v>46677</v>
      </c>
      <c r="H808" s="1" t="s">
        <v>24</v>
      </c>
      <c r="I808" s="1" t="str">
        <f>IF(G808&lt;=$K$1,"Pagado","Pendiente")</f>
        <v>Pendiente</v>
      </c>
    </row>
    <row r="809" spans="1:9" hidden="1">
      <c r="A809" s="2">
        <v>863502600</v>
      </c>
      <c r="B809" s="2">
        <v>7</v>
      </c>
      <c r="C809" s="8">
        <v>1165708.33</v>
      </c>
      <c r="D809" s="8">
        <v>4017871.27</v>
      </c>
      <c r="E809" s="8">
        <v>482144.55</v>
      </c>
      <c r="F809" s="8">
        <v>5665724.1500000004</v>
      </c>
      <c r="G809" s="7">
        <v>45855</v>
      </c>
      <c r="H809" s="1" t="s">
        <v>24</v>
      </c>
      <c r="I809" s="1" t="str">
        <f>IF(G809&lt;=$K$1,"Pagado","Pendiente")</f>
        <v>Pagado</v>
      </c>
    </row>
    <row r="810" spans="1:9" hidden="1">
      <c r="A810" s="2">
        <v>863502600</v>
      </c>
      <c r="B810" s="2">
        <v>8</v>
      </c>
      <c r="C810" s="8">
        <v>1198284.05</v>
      </c>
      <c r="D810" s="8">
        <v>3985295.55</v>
      </c>
      <c r="E810" s="8">
        <v>478235.46</v>
      </c>
      <c r="F810" s="8">
        <v>5661815.0599999996</v>
      </c>
      <c r="G810" s="7">
        <v>45886</v>
      </c>
      <c r="H810" s="1" t="s">
        <v>24</v>
      </c>
      <c r="I810" s="1" t="str">
        <f>IF(G810&lt;=$K$1,"Pagado","Pendiente")</f>
        <v>Pagado</v>
      </c>
    </row>
    <row r="811" spans="1:9" hidden="1">
      <c r="A811" s="2">
        <v>23700</v>
      </c>
      <c r="B811" s="2">
        <v>33</v>
      </c>
      <c r="C811" s="8">
        <v>20163546.010000002</v>
      </c>
      <c r="D811" s="8">
        <v>2458351.2200000002</v>
      </c>
      <c r="E811" s="8">
        <v>295002.15000000002</v>
      </c>
      <c r="F811" s="8">
        <v>22916899.379999999</v>
      </c>
      <c r="G811" s="7">
        <v>46698</v>
      </c>
      <c r="H811" s="1" t="s">
        <v>31</v>
      </c>
      <c r="I811" s="1" t="str">
        <f>IF(G811&lt;=$K$1,"Pagado","Pendiente")</f>
        <v>Pendiente</v>
      </c>
    </row>
    <row r="812" spans="1:9" hidden="1">
      <c r="A812" s="2">
        <v>20828</v>
      </c>
      <c r="B812" s="2">
        <v>59</v>
      </c>
      <c r="C812" s="8">
        <v>1179256.0112591186</v>
      </c>
      <c r="D812" s="8">
        <v>604474.51434505417</v>
      </c>
      <c r="E812" s="8">
        <f>+D812*0.105</f>
        <v>63469.824006230687</v>
      </c>
      <c r="F812" s="8">
        <f>+C812+D812+E812</f>
        <v>1847200.3496104032</v>
      </c>
      <c r="G812" s="7">
        <v>46703</v>
      </c>
      <c r="H812" s="1" t="s">
        <v>31</v>
      </c>
      <c r="I812" s="1" t="str">
        <f>IF(G812&lt;=$K$1,"Pagado","Pendiente")</f>
        <v>Pendiente</v>
      </c>
    </row>
    <row r="813" spans="1:9" hidden="1">
      <c r="A813" s="2">
        <v>23996</v>
      </c>
      <c r="B813" s="2">
        <v>28</v>
      </c>
      <c r="C813" s="8">
        <v>1813420.34</v>
      </c>
      <c r="D813" s="8">
        <v>8743381.5899999999</v>
      </c>
      <c r="E813" s="8">
        <v>1050080.1299999999</v>
      </c>
      <c r="F813" s="8">
        <f>+C813+D813+E813</f>
        <v>11606882.059999999</v>
      </c>
      <c r="G813" s="7">
        <v>46704</v>
      </c>
      <c r="H813" s="1" t="s">
        <v>31</v>
      </c>
      <c r="I813" s="1" t="str">
        <f>IF(G813&lt;=$K$1,"Pagado","Pendiente")</f>
        <v>Pendiente</v>
      </c>
    </row>
    <row r="814" spans="1:9" hidden="1">
      <c r="A814" s="2">
        <v>927328</v>
      </c>
      <c r="B814" s="2">
        <v>37</v>
      </c>
      <c r="C814" s="8">
        <v>7781420.0319613703</v>
      </c>
      <c r="D814" s="8">
        <v>6265599.611504551</v>
      </c>
      <c r="E814" s="8">
        <v>751871.95338054607</v>
      </c>
      <c r="F814" s="8">
        <v>14798891.596846467</v>
      </c>
      <c r="G814" s="7">
        <v>46708</v>
      </c>
      <c r="H814" s="1" t="s">
        <v>32</v>
      </c>
      <c r="I814" s="1" t="str">
        <f>IF(G814&lt;=$K$1,"Pagado","Pendiente")</f>
        <v>Pendiente</v>
      </c>
    </row>
    <row r="815" spans="1:9" hidden="1">
      <c r="A815" s="2">
        <v>75472831</v>
      </c>
      <c r="B815" s="2">
        <v>37</v>
      </c>
      <c r="C815" s="8">
        <v>2083333.33</v>
      </c>
      <c r="D815" s="8">
        <v>1315068.5</v>
      </c>
      <c r="E815" s="8">
        <f>+F815-D815-C815</f>
        <v>157808.21999999974</v>
      </c>
      <c r="F815" s="8">
        <v>3556210.05</v>
      </c>
      <c r="G815" s="7">
        <v>46708</v>
      </c>
      <c r="H815" s="1" t="s">
        <v>26</v>
      </c>
      <c r="I815" s="1" t="str">
        <f>IF(G815&lt;=$K$1,"Pagado","Pendiente")</f>
        <v>Pendiente</v>
      </c>
    </row>
    <row r="816" spans="1:9" hidden="1">
      <c r="A816" s="2">
        <v>863502400</v>
      </c>
      <c r="B816" s="2">
        <v>35</v>
      </c>
      <c r="C816" s="8">
        <v>4875882.55</v>
      </c>
      <c r="D816" s="8">
        <v>5145704.68</v>
      </c>
      <c r="E816" s="8">
        <v>617484.56000000006</v>
      </c>
      <c r="F816" s="8">
        <v>10639071.789999999</v>
      </c>
      <c r="G816" s="7">
        <v>46708</v>
      </c>
      <c r="H816" s="1" t="s">
        <v>24</v>
      </c>
      <c r="I816" s="1" t="str">
        <f>IF(G816&lt;=$K$1,"Pagado","Pendiente")</f>
        <v>Pendiente</v>
      </c>
    </row>
    <row r="817" spans="1:9" hidden="1">
      <c r="A817" s="2">
        <v>863502600</v>
      </c>
      <c r="B817" s="2">
        <v>35</v>
      </c>
      <c r="C817" s="8">
        <v>2522008.21</v>
      </c>
      <c r="D817" s="8">
        <v>2661571.39</v>
      </c>
      <c r="E817" s="8">
        <v>319388.57</v>
      </c>
      <c r="F817" s="8">
        <v>5502968.1699999999</v>
      </c>
      <c r="G817" s="7">
        <v>46708</v>
      </c>
      <c r="H817" s="1" t="s">
        <v>24</v>
      </c>
      <c r="I817" s="1" t="str">
        <f>IF(G817&lt;=$K$1,"Pagado","Pendiente")</f>
        <v>Pendiente</v>
      </c>
    </row>
    <row r="818" spans="1:9" hidden="1">
      <c r="A818" s="2">
        <v>23790</v>
      </c>
      <c r="B818" s="2">
        <v>32</v>
      </c>
      <c r="C818" s="8">
        <v>19693225.481821064</v>
      </c>
      <c r="D818" s="8">
        <v>3102008.6128442949</v>
      </c>
      <c r="E818" s="8">
        <v>372241.03354131541</v>
      </c>
      <c r="F818" s="8">
        <v>23167475.128206674</v>
      </c>
      <c r="G818" s="7">
        <v>46708</v>
      </c>
      <c r="H818" s="1" t="s">
        <v>31</v>
      </c>
      <c r="I818" s="1" t="str">
        <f>IF(G818&lt;=$K$1,"Pagado","Pendiente")</f>
        <v>Pendiente</v>
      </c>
    </row>
    <row r="819" spans="1:9" hidden="1">
      <c r="A819" s="2">
        <v>24004</v>
      </c>
      <c r="B819" s="2">
        <v>28</v>
      </c>
      <c r="C819" s="8">
        <v>1940615.83</v>
      </c>
      <c r="D819" s="8">
        <v>3833893.74</v>
      </c>
      <c r="E819" s="8">
        <v>460450.64</v>
      </c>
      <c r="F819" s="8">
        <v>6234960.21</v>
      </c>
      <c r="G819" s="7">
        <v>46708</v>
      </c>
      <c r="H819" s="1" t="s">
        <v>31</v>
      </c>
      <c r="I819" s="1" t="str">
        <f>IF(G819&lt;=$K$1,"Pagado","Pendiente")</f>
        <v>Pendiente</v>
      </c>
    </row>
    <row r="820" spans="1:9" hidden="1">
      <c r="A820" s="2">
        <v>65210751</v>
      </c>
      <c r="B820" s="2">
        <v>41</v>
      </c>
      <c r="C820" s="8">
        <v>8958333.3300000001</v>
      </c>
      <c r="D820" s="8">
        <v>3804223.75</v>
      </c>
      <c r="E820" s="8">
        <v>456506.84999999963</v>
      </c>
      <c r="F820" s="8">
        <v>13219063.93</v>
      </c>
      <c r="G820" s="7">
        <v>46709</v>
      </c>
      <c r="H820" s="1" t="s">
        <v>26</v>
      </c>
      <c r="I820" s="1" t="str">
        <f>IF(G820&lt;=$K$1,"Pagado","Pendiente")</f>
        <v>Pendiente</v>
      </c>
    </row>
    <row r="821" spans="1:9" hidden="1">
      <c r="A821" s="2">
        <v>23430</v>
      </c>
      <c r="B821" s="2">
        <v>40</v>
      </c>
      <c r="C821" s="8">
        <v>1070474.56</v>
      </c>
      <c r="D821" s="8">
        <v>3518949.69</v>
      </c>
      <c r="E821" s="8">
        <v>422273.97</v>
      </c>
      <c r="F821" s="8">
        <v>5011698.22</v>
      </c>
      <c r="G821" s="7">
        <v>46710</v>
      </c>
      <c r="H821" s="1" t="s">
        <v>31</v>
      </c>
      <c r="I821" s="1" t="str">
        <f>IF(G821&lt;=$K$1,"Pagado","Pendiente")</f>
        <v>Pendiente</v>
      </c>
    </row>
    <row r="822" spans="1:9" hidden="1">
      <c r="A822" s="2">
        <v>23467</v>
      </c>
      <c r="B822" s="2">
        <v>39</v>
      </c>
      <c r="C822" s="8">
        <v>4014279.64</v>
      </c>
      <c r="D822" s="8">
        <v>13196061.32</v>
      </c>
      <c r="E822" s="8">
        <v>1583527.36</v>
      </c>
      <c r="F822" s="8">
        <v>18793868.32</v>
      </c>
      <c r="G822" s="7">
        <v>46710</v>
      </c>
      <c r="H822" s="1" t="s">
        <v>31</v>
      </c>
      <c r="I822" s="1" t="str">
        <f>IF(G822&lt;=$K$1,"Pagado","Pendiente")</f>
        <v>Pendiente</v>
      </c>
    </row>
    <row r="823" spans="1:9" hidden="1">
      <c r="A823" s="2">
        <v>394949</v>
      </c>
      <c r="B823" s="2">
        <v>35</v>
      </c>
      <c r="C823" s="8">
        <v>1696941.65</v>
      </c>
      <c r="D823" s="8">
        <v>3209375.64</v>
      </c>
      <c r="E823" s="8">
        <v>385125.07</v>
      </c>
      <c r="F823" s="8">
        <v>5291442.3600000003</v>
      </c>
      <c r="G823" s="7">
        <v>46717</v>
      </c>
      <c r="H823" s="1" t="s">
        <v>30</v>
      </c>
      <c r="I823" s="1" t="str">
        <f>IF(G823&lt;=$K$1,"Pagado","Pendiente")</f>
        <v>Pendiente</v>
      </c>
    </row>
    <row r="824" spans="1:9" hidden="1">
      <c r="A824" s="2">
        <v>347916</v>
      </c>
      <c r="B824" s="2">
        <v>41</v>
      </c>
      <c r="C824" s="8">
        <v>4147574.3185506174</v>
      </c>
      <c r="D824" s="8">
        <v>4305609.4497088091</v>
      </c>
      <c r="E824" s="8">
        <v>516673.13396505709</v>
      </c>
      <c r="F824" s="8">
        <v>8969856.902224483</v>
      </c>
      <c r="G824" s="7">
        <v>46718</v>
      </c>
      <c r="H824" s="1" t="s">
        <v>30</v>
      </c>
      <c r="I824" s="1" t="str">
        <f>IF(G824&lt;=$K$1,"Pagado","Pendiente")</f>
        <v>Pendiente</v>
      </c>
    </row>
    <row r="825" spans="1:9" hidden="1">
      <c r="A825" s="2">
        <v>2537844</v>
      </c>
      <c r="B825" s="2">
        <v>44</v>
      </c>
      <c r="C825" s="8">
        <v>2500000</v>
      </c>
      <c r="D825" s="8">
        <v>318493.13750000001</v>
      </c>
      <c r="E825" s="8">
        <v>38219.176500000001</v>
      </c>
      <c r="F825" s="8">
        <v>2856712.3140000002</v>
      </c>
      <c r="G825" s="7">
        <v>46718</v>
      </c>
      <c r="H825" s="1" t="s">
        <v>29</v>
      </c>
      <c r="I825" s="1" t="str">
        <f>IF(G825&lt;=$K$1,"Pagado","Pendiente")</f>
        <v>Pendiente</v>
      </c>
    </row>
    <row r="826" spans="1:9" hidden="1">
      <c r="A826" s="2">
        <v>843950300</v>
      </c>
      <c r="B826" s="2">
        <v>38</v>
      </c>
      <c r="C826" s="8">
        <v>4124903.82</v>
      </c>
      <c r="D826" s="8">
        <v>3650465.58</v>
      </c>
      <c r="E826" s="8">
        <f>+F826-D826-C826</f>
        <v>438055.86999999965</v>
      </c>
      <c r="F826" s="8">
        <v>8213425.2699999996</v>
      </c>
      <c r="G826" s="7">
        <v>46718</v>
      </c>
      <c r="H826" s="1" t="s">
        <v>24</v>
      </c>
      <c r="I826" s="1" t="str">
        <f>IF(G826&lt;=$K$1,"Pagado","Pendiente")</f>
        <v>Pendiente</v>
      </c>
    </row>
    <row r="827" spans="1:9" hidden="1">
      <c r="A827" s="2">
        <v>31295</v>
      </c>
      <c r="B827" s="2">
        <v>27</v>
      </c>
      <c r="C827" s="8">
        <v>2886393.85</v>
      </c>
      <c r="D827" s="8">
        <v>4373626.37</v>
      </c>
      <c r="E827" s="8">
        <v>524835.17000000004</v>
      </c>
      <c r="F827" s="8">
        <v>7784855.3899999997</v>
      </c>
      <c r="G827" s="7">
        <v>46473</v>
      </c>
      <c r="H827" s="1" t="s">
        <v>35</v>
      </c>
      <c r="I827" s="1" t="str">
        <f>IF(G827&lt;=$K$1,"Pagado","Pendiente")</f>
        <v>Pendiente</v>
      </c>
    </row>
    <row r="828" spans="1:9" hidden="1">
      <c r="A828" s="2">
        <v>20466</v>
      </c>
      <c r="B828" s="2">
        <v>63</v>
      </c>
      <c r="C828" s="8">
        <v>1013576.294420614</v>
      </c>
      <c r="D828" s="8">
        <v>348585.48936617177</v>
      </c>
      <c r="E828" s="8">
        <f>+D828*0.12</f>
        <v>41830.258723940613</v>
      </c>
      <c r="F828" s="8">
        <f>+C828+D828+E828</f>
        <v>1403992.0425107265</v>
      </c>
      <c r="G828" s="7">
        <v>46721</v>
      </c>
      <c r="H828" s="1" t="s">
        <v>31</v>
      </c>
      <c r="I828" s="1" t="str">
        <f>IF(G828&lt;=$K$1,"Pagado","Pendiente")</f>
        <v>Pendiente</v>
      </c>
    </row>
    <row r="829" spans="1:9" hidden="1">
      <c r="A829" s="2">
        <v>66235635</v>
      </c>
      <c r="B829" s="2">
        <v>41</v>
      </c>
      <c r="C829" s="8">
        <v>7916666.6699999999</v>
      </c>
      <c r="D829" s="8">
        <v>3253424.66</v>
      </c>
      <c r="E829" s="8">
        <v>390410.95999999903</v>
      </c>
      <c r="F829" s="8">
        <v>11560502.289999999</v>
      </c>
      <c r="G829" s="7">
        <v>46723</v>
      </c>
      <c r="H829" s="1" t="s">
        <v>26</v>
      </c>
      <c r="I829" s="1" t="str">
        <f>IF(G829&lt;=$K$1,"Pagado","Pendiente")</f>
        <v>Pendiente</v>
      </c>
    </row>
    <row r="830" spans="1:9" hidden="1">
      <c r="A830" s="2">
        <v>22044</v>
      </c>
      <c r="B830" s="2">
        <v>52</v>
      </c>
      <c r="C830" s="8">
        <v>1468583.4665080544</v>
      </c>
      <c r="D830" s="8">
        <v>1263414.3843391936</v>
      </c>
      <c r="E830" s="8">
        <v>151609.72612070324</v>
      </c>
      <c r="F830" s="8">
        <v>2883607.5769679514</v>
      </c>
      <c r="G830" s="7">
        <v>46723</v>
      </c>
      <c r="H830" s="1" t="s">
        <v>31</v>
      </c>
      <c r="I830" s="1" t="str">
        <f>IF(G830&lt;=$K$1,"Pagado","Pendiente")</f>
        <v>Pendiente</v>
      </c>
    </row>
    <row r="831" spans="1:9" hidden="1">
      <c r="A831" s="2">
        <v>119980</v>
      </c>
      <c r="B831" s="2">
        <v>37</v>
      </c>
      <c r="C831" s="8">
        <v>14166666.67</v>
      </c>
      <c r="D831" s="8">
        <v>9538630.1300000008</v>
      </c>
      <c r="E831" s="8">
        <f>+F831-D831-C831</f>
        <v>1144635.6099999994</v>
      </c>
      <c r="F831" s="8">
        <v>24849932.41</v>
      </c>
      <c r="G831" s="7">
        <v>46725</v>
      </c>
      <c r="H831" s="1" t="s">
        <v>26</v>
      </c>
      <c r="I831" s="1" t="str">
        <f>IF(G831&lt;=$K$1,"Pagado","Pendiente")</f>
        <v>Pendiente</v>
      </c>
    </row>
    <row r="832" spans="1:9" hidden="1">
      <c r="A832" s="2">
        <v>23700</v>
      </c>
      <c r="B832" s="2">
        <v>34</v>
      </c>
      <c r="C832" s="8">
        <v>20751879.609999999</v>
      </c>
      <c r="D832" s="8">
        <v>1870017.62</v>
      </c>
      <c r="E832" s="8">
        <v>224402.11</v>
      </c>
      <c r="F832" s="8">
        <v>22846299.34</v>
      </c>
      <c r="G832" s="7">
        <v>46728</v>
      </c>
      <c r="H832" s="1" t="s">
        <v>31</v>
      </c>
      <c r="I832" s="1" t="str">
        <f>IF(G832&lt;=$K$1,"Pagado","Pendiente")</f>
        <v>Pendiente</v>
      </c>
    </row>
    <row r="833" spans="1:9" hidden="1">
      <c r="A833" s="2">
        <v>20828</v>
      </c>
      <c r="B833" s="2">
        <v>60</v>
      </c>
      <c r="C833" s="8">
        <v>1214633.6915968922</v>
      </c>
      <c r="D833" s="8">
        <v>569096.83400728053</v>
      </c>
      <c r="E833" s="8">
        <f>+D833*0.105</f>
        <v>59755.167570764454</v>
      </c>
      <c r="F833" s="8">
        <f>+C833+D833+E833</f>
        <v>1843485.693174937</v>
      </c>
      <c r="G833" s="7">
        <v>46733</v>
      </c>
      <c r="H833" s="1" t="s">
        <v>31</v>
      </c>
      <c r="I833" s="1" t="str">
        <f>IF(G833&lt;=$K$1,"Pagado","Pendiente")</f>
        <v>Pendiente</v>
      </c>
    </row>
    <row r="834" spans="1:9" hidden="1">
      <c r="A834" s="2">
        <v>23996</v>
      </c>
      <c r="B834" s="2">
        <v>29</v>
      </c>
      <c r="C834" s="8">
        <v>1870338.14</v>
      </c>
      <c r="D834" s="8">
        <v>8686463.7899999991</v>
      </c>
      <c r="E834" s="8">
        <v>1043244.31</v>
      </c>
      <c r="F834" s="8">
        <f>+C834+D834+E834</f>
        <v>11600046.24</v>
      </c>
      <c r="G834" s="7">
        <v>46734</v>
      </c>
      <c r="H834" s="1" t="s">
        <v>31</v>
      </c>
      <c r="I834" s="1" t="str">
        <f>IF(G834&lt;=$K$1,"Pagado","Pendiente")</f>
        <v>Pendiente</v>
      </c>
    </row>
    <row r="835" spans="1:9" hidden="1">
      <c r="A835" s="2">
        <v>927328</v>
      </c>
      <c r="B835" s="2">
        <v>38</v>
      </c>
      <c r="C835" s="8">
        <v>7975307.0810910743</v>
      </c>
      <c r="D835" s="8">
        <v>6071712.562374847</v>
      </c>
      <c r="E835" s="8">
        <v>728605.50748498167</v>
      </c>
      <c r="F835" s="8">
        <v>14775625.150950903</v>
      </c>
      <c r="G835" s="7">
        <v>46738</v>
      </c>
      <c r="H835" s="1" t="s">
        <v>32</v>
      </c>
      <c r="I835" s="1" t="str">
        <f>IF(G835&lt;=$K$1,"Pagado","Pendiente")</f>
        <v>Pendiente</v>
      </c>
    </row>
    <row r="836" spans="1:9" hidden="1">
      <c r="A836" s="2">
        <v>75472831</v>
      </c>
      <c r="B836" s="2">
        <v>38</v>
      </c>
      <c r="C836" s="8">
        <v>2083333.33</v>
      </c>
      <c r="D836" s="8">
        <v>1260273.97</v>
      </c>
      <c r="E836" s="8">
        <f>+F836-D836-C836</f>
        <v>151232.87999999989</v>
      </c>
      <c r="F836" s="8">
        <v>3494840.18</v>
      </c>
      <c r="G836" s="7">
        <v>46738</v>
      </c>
      <c r="H836" s="1" t="s">
        <v>26</v>
      </c>
      <c r="I836" s="1" t="str">
        <f>IF(G836&lt;=$K$1,"Pagado","Pendiente")</f>
        <v>Pendiente</v>
      </c>
    </row>
    <row r="837" spans="1:9" hidden="1">
      <c r="A837" s="2">
        <v>863502400</v>
      </c>
      <c r="B837" s="2">
        <v>36</v>
      </c>
      <c r="C837" s="8">
        <v>5012139.09</v>
      </c>
      <c r="D837" s="8">
        <v>5009448.1399999997</v>
      </c>
      <c r="E837" s="8">
        <v>601133.77</v>
      </c>
      <c r="F837" s="8">
        <v>10622721</v>
      </c>
      <c r="G837" s="7">
        <v>46738</v>
      </c>
      <c r="H837" s="1" t="s">
        <v>24</v>
      </c>
      <c r="I837" s="1" t="str">
        <f>IF(G837&lt;=$K$1,"Pagado","Pendiente")</f>
        <v>Pendiente</v>
      </c>
    </row>
    <row r="838" spans="1:9" hidden="1">
      <c r="A838" s="2">
        <v>863502600</v>
      </c>
      <c r="B838" s="2">
        <v>36</v>
      </c>
      <c r="C838" s="8">
        <v>2592485.73</v>
      </c>
      <c r="D838" s="8">
        <v>2591093.87</v>
      </c>
      <c r="E838" s="8">
        <v>310931.27</v>
      </c>
      <c r="F838" s="8">
        <v>5494510.8700000001</v>
      </c>
      <c r="G838" s="7">
        <v>46738</v>
      </c>
      <c r="H838" s="1" t="s">
        <v>24</v>
      </c>
      <c r="I838" s="1" t="str">
        <f>IF(G838&lt;=$K$1,"Pagado","Pendiente")</f>
        <v>Pendiente</v>
      </c>
    </row>
    <row r="839" spans="1:9" hidden="1">
      <c r="A839" s="2">
        <v>23790</v>
      </c>
      <c r="B839" s="2">
        <v>33</v>
      </c>
      <c r="C839" s="8">
        <v>20277868.113312628</v>
      </c>
      <c r="D839" s="8">
        <v>2517365.9813527321</v>
      </c>
      <c r="E839" s="8">
        <v>302083.91776232782</v>
      </c>
      <c r="F839" s="8">
        <v>23097318.012427688</v>
      </c>
      <c r="G839" s="7">
        <v>46738</v>
      </c>
      <c r="H839" s="1" t="s">
        <v>31</v>
      </c>
      <c r="I839" s="1" t="str">
        <f>IF(G839&lt;=$K$1,"Pagado","Pendiente")</f>
        <v>Pendiente</v>
      </c>
    </row>
    <row r="840" spans="1:9" hidden="1">
      <c r="A840" s="2">
        <v>24004</v>
      </c>
      <c r="B840" s="2">
        <v>29</v>
      </c>
      <c r="C840" s="8">
        <v>2005812.55</v>
      </c>
      <c r="D840" s="8">
        <v>3768697.02</v>
      </c>
      <c r="E840" s="8">
        <v>452620.52</v>
      </c>
      <c r="F840" s="8">
        <v>6227130.0899999999</v>
      </c>
      <c r="G840" s="7">
        <v>46738</v>
      </c>
      <c r="H840" s="1" t="s">
        <v>31</v>
      </c>
      <c r="I840" s="1" t="str">
        <f>IF(G840&lt;=$K$1,"Pagado","Pendiente")</f>
        <v>Pendiente</v>
      </c>
    </row>
    <row r="841" spans="1:9" hidden="1">
      <c r="A841" s="2">
        <v>65210751</v>
      </c>
      <c r="B841" s="2">
        <v>42</v>
      </c>
      <c r="C841" s="8">
        <v>8958333.3300000001</v>
      </c>
      <c r="D841" s="8">
        <v>3730593.61</v>
      </c>
      <c r="E841" s="8">
        <v>447671.23000000045</v>
      </c>
      <c r="F841" s="8">
        <v>13136598.17</v>
      </c>
      <c r="G841" s="7">
        <v>46739</v>
      </c>
      <c r="H841" s="1" t="s">
        <v>26</v>
      </c>
      <c r="I841" s="1" t="str">
        <f>IF(G841&lt;=$K$1,"Pagado","Pendiente")</f>
        <v>Pendiente</v>
      </c>
    </row>
    <row r="842" spans="1:9" hidden="1">
      <c r="A842" s="2">
        <v>23430</v>
      </c>
      <c r="B842" s="2">
        <v>41</v>
      </c>
      <c r="C842" s="8">
        <v>1105668.24</v>
      </c>
      <c r="D842" s="8">
        <v>3483756.01</v>
      </c>
      <c r="E842" s="8">
        <v>418050.72</v>
      </c>
      <c r="F842" s="8">
        <v>5007474.97</v>
      </c>
      <c r="G842" s="7">
        <v>46740</v>
      </c>
      <c r="H842" s="1" t="s">
        <v>31</v>
      </c>
      <c r="I842" s="1" t="str">
        <f>IF(G842&lt;=$K$1,"Pagado","Pendiente")</f>
        <v>Pendiente</v>
      </c>
    </row>
    <row r="843" spans="1:9" hidden="1">
      <c r="A843" s="2">
        <v>23467</v>
      </c>
      <c r="B843" s="2">
        <v>40</v>
      </c>
      <c r="C843" s="8">
        <v>4146255.96</v>
      </c>
      <c r="D843" s="8">
        <v>13064085</v>
      </c>
      <c r="E843" s="8">
        <v>1567690.21</v>
      </c>
      <c r="F843" s="8">
        <v>18778031.170000002</v>
      </c>
      <c r="G843" s="7">
        <v>46740</v>
      </c>
      <c r="H843" s="1" t="s">
        <v>31</v>
      </c>
      <c r="I843" s="1" t="str">
        <f>IF(G843&lt;=$K$1,"Pagado","Pendiente")</f>
        <v>Pendiente</v>
      </c>
    </row>
    <row r="844" spans="1:9" hidden="1">
      <c r="A844" s="2">
        <v>394949</v>
      </c>
      <c r="B844" s="2">
        <v>36</v>
      </c>
      <c r="C844" s="8">
        <v>1745021.66</v>
      </c>
      <c r="D844" s="8">
        <v>3161295.63</v>
      </c>
      <c r="E844" s="8">
        <v>379355.47</v>
      </c>
      <c r="F844" s="8">
        <v>5285672.76</v>
      </c>
      <c r="G844" s="7">
        <v>46747</v>
      </c>
      <c r="H844" s="1" t="s">
        <v>30</v>
      </c>
      <c r="I844" s="1" t="str">
        <f>IF(G844&lt;=$K$1,"Pagado","Pendiente")</f>
        <v>Pendiente</v>
      </c>
    </row>
    <row r="845" spans="1:9" hidden="1">
      <c r="A845" s="2">
        <v>347916</v>
      </c>
      <c r="B845" s="2">
        <v>42</v>
      </c>
      <c r="C845" s="8">
        <v>4240894.7407180062</v>
      </c>
      <c r="D845" s="8">
        <v>4212289.0275414204</v>
      </c>
      <c r="E845" s="8">
        <v>505474.68330497044</v>
      </c>
      <c r="F845" s="8">
        <v>8958658.4515643977</v>
      </c>
      <c r="G845" s="7">
        <v>46748</v>
      </c>
      <c r="H845" s="1" t="s">
        <v>30</v>
      </c>
      <c r="I845" s="1" t="str">
        <f>IF(G845&lt;=$K$1,"Pagado","Pendiente")</f>
        <v>Pendiente</v>
      </c>
    </row>
    <row r="846" spans="1:9" hidden="1">
      <c r="A846" s="2">
        <v>2537844</v>
      </c>
      <c r="B846" s="2">
        <v>45</v>
      </c>
      <c r="C846" s="8">
        <v>2500000</v>
      </c>
      <c r="D846" s="8">
        <v>254794.51</v>
      </c>
      <c r="E846" s="8">
        <v>30575.341199999999</v>
      </c>
      <c r="F846" s="8">
        <v>2785369.8511999999</v>
      </c>
      <c r="G846" s="7">
        <v>46748</v>
      </c>
      <c r="H846" s="1" t="s">
        <v>29</v>
      </c>
      <c r="I846" s="1" t="str">
        <f>IF(G846&lt;=$K$1,"Pagado","Pendiente")</f>
        <v>Pendiente</v>
      </c>
    </row>
    <row r="847" spans="1:9" hidden="1">
      <c r="A847" s="2">
        <v>843950300</v>
      </c>
      <c r="B847" s="2">
        <v>39</v>
      </c>
      <c r="C847" s="8">
        <v>4240174.26</v>
      </c>
      <c r="D847" s="8">
        <v>3535195.14</v>
      </c>
      <c r="E847" s="8">
        <f>+F847-D847-C847</f>
        <v>424223.41999999993</v>
      </c>
      <c r="F847" s="8">
        <v>8199592.8200000003</v>
      </c>
      <c r="G847" s="7">
        <v>46748</v>
      </c>
      <c r="H847" s="1" t="s">
        <v>24</v>
      </c>
      <c r="I847" s="1" t="str">
        <f>IF(G847&lt;=$K$1,"Pagado","Pendiente")</f>
        <v>Pendiente</v>
      </c>
    </row>
    <row r="848" spans="1:9" hidden="1">
      <c r="A848" s="2">
        <v>31295</v>
      </c>
      <c r="B848" s="2">
        <v>28</v>
      </c>
      <c r="C848" s="8">
        <v>2965769.69</v>
      </c>
      <c r="D848" s="8">
        <v>4294250.53</v>
      </c>
      <c r="E848" s="8">
        <v>515310.07</v>
      </c>
      <c r="F848" s="8">
        <v>7775330.29</v>
      </c>
      <c r="G848" s="7">
        <v>46504</v>
      </c>
      <c r="H848" s="1" t="s">
        <v>35</v>
      </c>
      <c r="I848" s="1" t="str">
        <f>IF(G848&lt;=$K$1,"Pagado","Pendiente")</f>
        <v>Pendiente</v>
      </c>
    </row>
    <row r="849" spans="1:9" hidden="1">
      <c r="A849" s="2">
        <v>20466</v>
      </c>
      <c r="B849" s="2">
        <v>64</v>
      </c>
      <c r="C849" s="8">
        <v>1043983.5832532325</v>
      </c>
      <c r="D849" s="8">
        <v>318178.20053355332</v>
      </c>
      <c r="E849" s="8">
        <f>+D849*0.12</f>
        <v>38181.384064026395</v>
      </c>
      <c r="F849" s="8">
        <f>+C849+D849+E849</f>
        <v>1400343.1678508122</v>
      </c>
      <c r="G849" s="7">
        <v>46752</v>
      </c>
      <c r="H849" s="1" t="s">
        <v>31</v>
      </c>
      <c r="I849" s="1" t="str">
        <f>IF(G849&lt;=$K$1,"Pagado","Pendiente")</f>
        <v>Pendiente</v>
      </c>
    </row>
    <row r="850" spans="1:9" hidden="1">
      <c r="A850" s="2">
        <v>66235635</v>
      </c>
      <c r="B850" s="2">
        <v>42</v>
      </c>
      <c r="C850" s="8">
        <v>7916666.6699999999</v>
      </c>
      <c r="D850" s="8">
        <v>3296803.65</v>
      </c>
      <c r="E850" s="8">
        <v>395616.4299999997</v>
      </c>
      <c r="F850" s="8">
        <v>11609086.75</v>
      </c>
      <c r="G850" s="7">
        <v>46754</v>
      </c>
      <c r="H850" s="1" t="s">
        <v>26</v>
      </c>
      <c r="I850" s="1" t="str">
        <f>IF(G850&lt;=$K$1,"Pagado","Pendiente")</f>
        <v>Pendiente</v>
      </c>
    </row>
    <row r="851" spans="1:9" hidden="1">
      <c r="A851" s="2">
        <v>22044</v>
      </c>
      <c r="B851" s="2">
        <v>53</v>
      </c>
      <c r="C851" s="8">
        <v>1512640.970503296</v>
      </c>
      <c r="D851" s="8">
        <v>1219356.880343952</v>
      </c>
      <c r="E851" s="8">
        <v>146322.82564127425</v>
      </c>
      <c r="F851" s="8">
        <v>2878320.6764885224</v>
      </c>
      <c r="G851" s="7">
        <v>46754</v>
      </c>
      <c r="H851" s="1" t="s">
        <v>31</v>
      </c>
      <c r="I851" s="1" t="str">
        <f>IF(G851&lt;=$K$1,"Pagado","Pendiente")</f>
        <v>Pendiente</v>
      </c>
    </row>
    <row r="852" spans="1:9" hidden="1">
      <c r="A852" s="2">
        <v>119980</v>
      </c>
      <c r="B852" s="2">
        <v>38</v>
      </c>
      <c r="C852" s="8">
        <v>14166666.67</v>
      </c>
      <c r="D852" s="8">
        <v>8284200.9100000001</v>
      </c>
      <c r="E852" s="8">
        <f>+F852-D852-C852</f>
        <v>994104.11000000127</v>
      </c>
      <c r="F852" s="8">
        <v>23444971.690000001</v>
      </c>
      <c r="G852" s="7">
        <v>46756</v>
      </c>
      <c r="H852" s="1" t="s">
        <v>26</v>
      </c>
      <c r="I852" s="1" t="str">
        <f>IF(G852&lt;=$K$1,"Pagado","Pendiente")</f>
        <v>Pendiente</v>
      </c>
    </row>
    <row r="853" spans="1:9" hidden="1">
      <c r="A853" s="2">
        <v>23700</v>
      </c>
      <c r="B853" s="2">
        <v>35</v>
      </c>
      <c r="C853" s="8">
        <v>21357379.649999999</v>
      </c>
      <c r="D853" s="8">
        <v>1264517.58</v>
      </c>
      <c r="E853" s="8">
        <v>151742.10999999999</v>
      </c>
      <c r="F853" s="8">
        <v>22773639.339999996</v>
      </c>
      <c r="G853" s="7">
        <v>46759</v>
      </c>
      <c r="H853" s="1" t="s">
        <v>31</v>
      </c>
      <c r="I853" s="1" t="str">
        <f>IF(G853&lt;=$K$1,"Pagado","Pendiente")</f>
        <v>Pendiente</v>
      </c>
    </row>
    <row r="854" spans="1:9" hidden="1">
      <c r="A854" s="2">
        <v>20828</v>
      </c>
      <c r="B854" s="2">
        <v>61</v>
      </c>
      <c r="C854" s="8">
        <v>1251072.7023447989</v>
      </c>
      <c r="D854" s="8">
        <v>532657.82325937378</v>
      </c>
      <c r="E854" s="8">
        <f>+D854*0.105</f>
        <v>55929.071442234243</v>
      </c>
      <c r="F854" s="8">
        <f>+C854+D854+E854</f>
        <v>1839659.5970464069</v>
      </c>
      <c r="G854" s="7">
        <v>46764</v>
      </c>
      <c r="H854" s="1" t="s">
        <v>31</v>
      </c>
      <c r="I854" s="1" t="str">
        <f>IF(G854&lt;=$K$1,"Pagado","Pendiente")</f>
        <v>Pendiente</v>
      </c>
    </row>
    <row r="855" spans="1:9" hidden="1">
      <c r="A855" s="2">
        <v>23996</v>
      </c>
      <c r="B855" s="2">
        <v>30</v>
      </c>
      <c r="C855" s="8">
        <v>1929042.42</v>
      </c>
      <c r="D855" s="8">
        <v>8627759.5099999998</v>
      </c>
      <c r="E855" s="8">
        <v>1036193.92</v>
      </c>
      <c r="F855" s="8">
        <f>+C855+D855+E855</f>
        <v>11592995.85</v>
      </c>
      <c r="G855" s="7">
        <v>46765</v>
      </c>
      <c r="H855" s="1" t="s">
        <v>31</v>
      </c>
      <c r="I855" s="1" t="str">
        <f>IF(G855&lt;=$K$1,"Pagado","Pendiente")</f>
        <v>Pendiente</v>
      </c>
    </row>
    <row r="856" spans="1:9" hidden="1">
      <c r="A856" s="2">
        <v>927328</v>
      </c>
      <c r="B856" s="2">
        <v>39</v>
      </c>
      <c r="C856" s="8">
        <v>8174025.149194927</v>
      </c>
      <c r="D856" s="8">
        <v>5872994.4942709943</v>
      </c>
      <c r="E856" s="8">
        <v>704759.3393125193</v>
      </c>
      <c r="F856" s="8">
        <v>14751778.982778441</v>
      </c>
      <c r="G856" s="7">
        <v>46769</v>
      </c>
      <c r="H856" s="1" t="s">
        <v>32</v>
      </c>
      <c r="I856" s="1" t="str">
        <f>IF(G856&lt;=$K$1,"Pagado","Pendiente")</f>
        <v>Pendiente</v>
      </c>
    </row>
    <row r="857" spans="1:9" hidden="1">
      <c r="A857" s="2">
        <v>75472831</v>
      </c>
      <c r="B857" s="2">
        <v>39</v>
      </c>
      <c r="C857" s="8">
        <v>2083333.33</v>
      </c>
      <c r="D857" s="8">
        <v>1245662.1000000001</v>
      </c>
      <c r="E857" s="8">
        <f>+F857-D857-C857</f>
        <v>149479.44999999972</v>
      </c>
      <c r="F857" s="8">
        <v>3478474.88</v>
      </c>
      <c r="G857" s="7">
        <v>46769</v>
      </c>
      <c r="H857" s="1" t="s">
        <v>26</v>
      </c>
      <c r="I857" s="1" t="str">
        <f>IF(G857&lt;=$K$1,"Pagado","Pendiente")</f>
        <v>Pendiente</v>
      </c>
    </row>
    <row r="858" spans="1:9" hidden="1">
      <c r="A858" s="2">
        <v>863502400</v>
      </c>
      <c r="B858" s="2">
        <v>37</v>
      </c>
      <c r="C858" s="8">
        <v>5152203.32</v>
      </c>
      <c r="D858" s="8">
        <v>4869383.91</v>
      </c>
      <c r="E858" s="8">
        <v>584326.06999999995</v>
      </c>
      <c r="F858" s="8">
        <v>10605913.300000001</v>
      </c>
      <c r="G858" s="7">
        <v>46769</v>
      </c>
      <c r="H858" s="1" t="s">
        <v>24</v>
      </c>
      <c r="I858" s="1" t="str">
        <f>IF(G858&lt;=$K$1,"Pagado","Pendiente")</f>
        <v>Pendiente</v>
      </c>
    </row>
    <row r="859" spans="1:9" hidden="1">
      <c r="A859" s="2">
        <v>863502600</v>
      </c>
      <c r="B859" s="2">
        <v>37</v>
      </c>
      <c r="C859" s="8">
        <v>2664932.75</v>
      </c>
      <c r="D859" s="8">
        <v>2518646.85</v>
      </c>
      <c r="E859" s="8">
        <v>302237.62</v>
      </c>
      <c r="F859" s="8">
        <v>5485817.2199999997</v>
      </c>
      <c r="G859" s="7">
        <v>46769</v>
      </c>
      <c r="H859" s="1" t="s">
        <v>24</v>
      </c>
      <c r="I859" s="1" t="str">
        <f>IF(G859&lt;=$K$1,"Pagado","Pendiente")</f>
        <v>Pendiente</v>
      </c>
    </row>
    <row r="860" spans="1:9" hidden="1">
      <c r="A860" s="2">
        <v>23790</v>
      </c>
      <c r="B860" s="2">
        <v>34</v>
      </c>
      <c r="C860" s="8">
        <v>20879867.322926596</v>
      </c>
      <c r="D860" s="8">
        <v>1915366.7717387634</v>
      </c>
      <c r="E860" s="8">
        <v>229844.01260865162</v>
      </c>
      <c r="F860" s="8">
        <v>23025078.107274011</v>
      </c>
      <c r="G860" s="7">
        <v>46769</v>
      </c>
      <c r="H860" s="1" t="s">
        <v>31</v>
      </c>
      <c r="I860" s="1" t="str">
        <f>IF(G860&lt;=$K$1,"Pagado","Pendiente")</f>
        <v>Pendiente</v>
      </c>
    </row>
    <row r="861" spans="1:9" hidden="1">
      <c r="A861" s="2">
        <v>24004</v>
      </c>
      <c r="B861" s="2">
        <v>30</v>
      </c>
      <c r="C861" s="8">
        <v>2073199.61</v>
      </c>
      <c r="D861" s="8">
        <v>3701309.96</v>
      </c>
      <c r="E861" s="8">
        <v>444527.33</v>
      </c>
      <c r="F861" s="8">
        <v>6219036.9000000004</v>
      </c>
      <c r="G861" s="7">
        <v>46769</v>
      </c>
      <c r="H861" s="1" t="s">
        <v>31</v>
      </c>
      <c r="I861" s="1" t="str">
        <f>IF(G861&lt;=$K$1,"Pagado","Pendiente")</f>
        <v>Pendiente</v>
      </c>
    </row>
    <row r="862" spans="1:9" hidden="1">
      <c r="A862" s="2">
        <v>65210751</v>
      </c>
      <c r="B862" s="2">
        <v>43</v>
      </c>
      <c r="C862" s="8">
        <v>8958333.3300000001</v>
      </c>
      <c r="D862" s="8">
        <v>3202910.96</v>
      </c>
      <c r="E862" s="8">
        <v>384349.31000000052</v>
      </c>
      <c r="F862" s="8">
        <v>12545593.6</v>
      </c>
      <c r="G862" s="7">
        <v>46770</v>
      </c>
      <c r="H862" s="1" t="s">
        <v>26</v>
      </c>
      <c r="I862" s="1" t="str">
        <f>IF(G862&lt;=$K$1,"Pagado","Pendiente")</f>
        <v>Pendiente</v>
      </c>
    </row>
    <row r="863" spans="1:9" s="10" customFormat="1" hidden="1">
      <c r="A863" s="9">
        <v>394949</v>
      </c>
      <c r="B863" s="9">
        <v>1</v>
      </c>
      <c r="C863" s="13">
        <v>656317.29</v>
      </c>
      <c r="D863" s="13">
        <v>4250000</v>
      </c>
      <c r="E863" s="13">
        <v>510000</v>
      </c>
      <c r="F863" s="13">
        <v>5416317.29</v>
      </c>
      <c r="G863" s="11">
        <v>45683</v>
      </c>
      <c r="H863" s="10" t="s">
        <v>30</v>
      </c>
      <c r="I863" s="1" t="str">
        <f>IF(G863&lt;=$K$1,"Pagado","Pendiente")</f>
        <v>Pagado</v>
      </c>
    </row>
    <row r="864" spans="1:9" s="10" customFormat="1" hidden="1">
      <c r="A864" s="9">
        <v>394949</v>
      </c>
      <c r="B864" s="9">
        <v>2</v>
      </c>
      <c r="C864" s="13">
        <v>674912.95</v>
      </c>
      <c r="D864" s="13">
        <v>4231404.34</v>
      </c>
      <c r="E864" s="13">
        <v>507768.51</v>
      </c>
      <c r="F864" s="13">
        <v>5414085.7999999998</v>
      </c>
      <c r="G864" s="11">
        <v>45714</v>
      </c>
      <c r="H864" s="10" t="s">
        <v>30</v>
      </c>
      <c r="I864" s="1" t="str">
        <f>IF(G864&lt;=$K$1,"Pagado","Pendiente")</f>
        <v>Pagado</v>
      </c>
    </row>
    <row r="865" spans="1:9" s="10" customFormat="1" hidden="1">
      <c r="A865" s="9">
        <v>394949</v>
      </c>
      <c r="B865" s="9">
        <v>3</v>
      </c>
      <c r="C865" s="13">
        <v>694035.48</v>
      </c>
      <c r="D865" s="13">
        <v>4212281.8099999996</v>
      </c>
      <c r="E865" s="13">
        <v>505473.81</v>
      </c>
      <c r="F865" s="13">
        <v>5411791.0999999996</v>
      </c>
      <c r="G865" s="11">
        <v>45742</v>
      </c>
      <c r="H865" s="10" t="s">
        <v>30</v>
      </c>
      <c r="I865" s="1" t="str">
        <f>IF(G865&lt;=$K$1,"Pagado","Pendiente")</f>
        <v>Pagado</v>
      </c>
    </row>
    <row r="866" spans="1:9" s="10" customFormat="1" hidden="1">
      <c r="A866" s="9">
        <v>394949</v>
      </c>
      <c r="B866" s="9">
        <v>4</v>
      </c>
      <c r="C866" s="13">
        <v>713699.82</v>
      </c>
      <c r="D866" s="13">
        <v>4192617.47</v>
      </c>
      <c r="E866" s="13">
        <v>503114.09</v>
      </c>
      <c r="F866" s="13">
        <v>5409431.3799999999</v>
      </c>
      <c r="G866" s="11">
        <v>45773</v>
      </c>
      <c r="H866" s="10" t="s">
        <v>30</v>
      </c>
      <c r="I866" s="1" t="str">
        <f>IF(G866&lt;=$K$1,"Pagado","Pendiente")</f>
        <v>Pagado</v>
      </c>
    </row>
    <row r="867" spans="1:9" s="10" customFormat="1" hidden="1">
      <c r="A867" s="9">
        <v>394949</v>
      </c>
      <c r="B867" s="9">
        <v>5</v>
      </c>
      <c r="C867" s="13">
        <v>733921.31</v>
      </c>
      <c r="D867" s="13">
        <v>4172395.98</v>
      </c>
      <c r="E867" s="13">
        <v>500687.5</v>
      </c>
      <c r="F867" s="13">
        <v>5407004.79</v>
      </c>
      <c r="G867" s="11">
        <v>45803</v>
      </c>
      <c r="H867" s="10" t="s">
        <v>30</v>
      </c>
      <c r="I867" s="1" t="str">
        <f>IF(G867&lt;=$K$1,"Pagado","Pendiente")</f>
        <v>Pagado</v>
      </c>
    </row>
    <row r="868" spans="1:9" s="10" customFormat="1" hidden="1">
      <c r="A868" s="9">
        <v>394949</v>
      </c>
      <c r="B868" s="9">
        <v>6</v>
      </c>
      <c r="C868" s="13">
        <v>754715.75</v>
      </c>
      <c r="D868" s="13">
        <v>4151601.54</v>
      </c>
      <c r="E868" s="13">
        <v>498192.18</v>
      </c>
      <c r="F868" s="13">
        <v>5404509.4699999997</v>
      </c>
      <c r="G868" s="11">
        <v>45834</v>
      </c>
      <c r="H868" s="10" t="s">
        <v>30</v>
      </c>
      <c r="I868" s="1" t="str">
        <f>IF(G868&lt;=$K$1,"Pagado","Pendiente")</f>
        <v>Pagado</v>
      </c>
    </row>
    <row r="869" spans="1:9" hidden="1">
      <c r="A869" s="2">
        <v>394949</v>
      </c>
      <c r="B869" s="2">
        <v>7</v>
      </c>
      <c r="C869" s="8">
        <v>776099.36</v>
      </c>
      <c r="D869" s="8">
        <v>4130217.93</v>
      </c>
      <c r="E869" s="8">
        <v>495626.14</v>
      </c>
      <c r="F869" s="8">
        <v>5401943.4299999997</v>
      </c>
      <c r="G869" s="7">
        <v>45864</v>
      </c>
      <c r="H869" s="1" t="s">
        <v>30</v>
      </c>
      <c r="I869" s="1" t="str">
        <f>IF(G869&lt;=$K$1,"Pagado","Pendiente")</f>
        <v>Pagado</v>
      </c>
    </row>
    <row r="870" spans="1:9" hidden="1">
      <c r="A870" s="2">
        <v>394949</v>
      </c>
      <c r="B870" s="2">
        <v>8</v>
      </c>
      <c r="C870" s="8">
        <v>798088.85</v>
      </c>
      <c r="D870" s="8">
        <v>4108228.44</v>
      </c>
      <c r="E870" s="8">
        <v>492987.4</v>
      </c>
      <c r="F870" s="8">
        <v>5399304.6900000004</v>
      </c>
      <c r="G870" s="7">
        <v>45895</v>
      </c>
      <c r="H870" s="1" t="s">
        <v>30</v>
      </c>
      <c r="I870" s="1" t="str">
        <f>IF(G870&lt;=$K$1,"Pagado","Pendiente")</f>
        <v>Pagado</v>
      </c>
    </row>
    <row r="871" spans="1:9" hidden="1">
      <c r="A871" s="2">
        <v>23430</v>
      </c>
      <c r="B871" s="2">
        <v>42</v>
      </c>
      <c r="C871" s="8">
        <v>1142018.98</v>
      </c>
      <c r="D871" s="8">
        <v>3447405.27</v>
      </c>
      <c r="E871" s="8">
        <v>413688.63</v>
      </c>
      <c r="F871" s="8">
        <v>5003112.88</v>
      </c>
      <c r="G871" s="7">
        <v>46771</v>
      </c>
      <c r="H871" s="1" t="s">
        <v>31</v>
      </c>
      <c r="I871" s="1" t="str">
        <f>IF(G871&lt;=$K$1,"Pagado","Pendiente")</f>
        <v>Pendiente</v>
      </c>
    </row>
    <row r="872" spans="1:9" hidden="1">
      <c r="A872" s="2">
        <v>23467</v>
      </c>
      <c r="B872" s="2">
        <v>41</v>
      </c>
      <c r="C872" s="8">
        <v>4282571.22</v>
      </c>
      <c r="D872" s="8">
        <v>12927769.74</v>
      </c>
      <c r="E872" s="8">
        <v>1551332.37</v>
      </c>
      <c r="F872" s="8">
        <v>18761673.329999998</v>
      </c>
      <c r="G872" s="7">
        <v>46771</v>
      </c>
      <c r="H872" s="1" t="s">
        <v>31</v>
      </c>
      <c r="I872" s="1" t="str">
        <f>IF(G872&lt;=$K$1,"Pagado","Pendiente")</f>
        <v>Pendiente</v>
      </c>
    </row>
    <row r="873" spans="1:9" hidden="1">
      <c r="A873" s="2">
        <v>394949</v>
      </c>
      <c r="B873" s="2">
        <v>37</v>
      </c>
      <c r="C873" s="8">
        <v>1794463.95</v>
      </c>
      <c r="D873" s="8">
        <v>3111853.34</v>
      </c>
      <c r="E873" s="8">
        <v>373422.4</v>
      </c>
      <c r="F873" s="8">
        <v>5279739.6900000004</v>
      </c>
      <c r="G873" s="7">
        <v>46778</v>
      </c>
      <c r="H873" s="1" t="s">
        <v>30</v>
      </c>
      <c r="I873" s="1" t="str">
        <f>IF(G873&lt;=$K$1,"Pagado","Pendiente")</f>
        <v>Pendiente</v>
      </c>
    </row>
    <row r="874" spans="1:9" hidden="1">
      <c r="A874" s="2">
        <v>347916</v>
      </c>
      <c r="B874" s="2">
        <v>43</v>
      </c>
      <c r="C874" s="8">
        <v>4336314.8723841608</v>
      </c>
      <c r="D874" s="8">
        <v>4116868.8958752654</v>
      </c>
      <c r="E874" s="8">
        <v>494024.26750503184</v>
      </c>
      <c r="F874" s="8">
        <v>8947208.0357644577</v>
      </c>
      <c r="G874" s="7">
        <v>46779</v>
      </c>
      <c r="H874" s="1" t="s">
        <v>30</v>
      </c>
      <c r="I874" s="1" t="str">
        <f>IF(G874&lt;=$K$1,"Pagado","Pendiente")</f>
        <v>Pendiente</v>
      </c>
    </row>
    <row r="875" spans="1:9" hidden="1">
      <c r="A875" s="2">
        <v>2537844</v>
      </c>
      <c r="B875" s="2">
        <v>46</v>
      </c>
      <c r="C875" s="8">
        <v>2500000</v>
      </c>
      <c r="D875" s="8">
        <v>191095.88250000001</v>
      </c>
      <c r="E875" s="8">
        <v>22931.5059</v>
      </c>
      <c r="F875" s="8">
        <v>2714027.3884000001</v>
      </c>
      <c r="G875" s="7">
        <v>46779</v>
      </c>
      <c r="H875" s="1" t="s">
        <v>29</v>
      </c>
      <c r="I875" s="1" t="str">
        <f>IF(G875&lt;=$K$1,"Pagado","Pendiente")</f>
        <v>Pendiente</v>
      </c>
    </row>
    <row r="876" spans="1:9" hidden="1">
      <c r="A876" s="2">
        <v>843950300</v>
      </c>
      <c r="B876" s="2">
        <v>40</v>
      </c>
      <c r="C876" s="8">
        <v>4358665.93</v>
      </c>
      <c r="D876" s="8">
        <v>3416703.47</v>
      </c>
      <c r="E876" s="8">
        <f>+F876-D876-C876</f>
        <v>410004.41000000015</v>
      </c>
      <c r="F876" s="8">
        <v>8185373.8099999996</v>
      </c>
      <c r="G876" s="7">
        <v>46779</v>
      </c>
      <c r="H876" s="1" t="s">
        <v>24</v>
      </c>
      <c r="I876" s="1" t="str">
        <f>IF(G876&lt;=$K$1,"Pagado","Pendiente")</f>
        <v>Pendiente</v>
      </c>
    </row>
    <row r="877" spans="1:9" hidden="1">
      <c r="A877" s="2">
        <v>31295</v>
      </c>
      <c r="B877" s="2">
        <v>29</v>
      </c>
      <c r="C877" s="8">
        <v>3047328.35</v>
      </c>
      <c r="D877" s="8">
        <v>4212691.87</v>
      </c>
      <c r="E877" s="8">
        <v>505523.03</v>
      </c>
      <c r="F877" s="8">
        <v>7765543.25</v>
      </c>
      <c r="G877" s="7">
        <v>46534</v>
      </c>
      <c r="H877" s="1" t="s">
        <v>35</v>
      </c>
      <c r="I877" s="1" t="str">
        <f>IF(G877&lt;=$K$1,"Pagado","Pendiente")</f>
        <v>Pendiente</v>
      </c>
    </row>
    <row r="878" spans="1:9" hidden="1">
      <c r="A878" s="2">
        <v>20466</v>
      </c>
      <c r="B878" s="2">
        <v>65</v>
      </c>
      <c r="C878" s="8">
        <v>1075303.0907508293</v>
      </c>
      <c r="D878" s="8">
        <v>286858.69303595636</v>
      </c>
      <c r="E878" s="8">
        <f>+D878*0.12</f>
        <v>34423.04316431476</v>
      </c>
      <c r="F878" s="8">
        <f>+C878+D878+E878</f>
        <v>1396584.8269511005</v>
      </c>
      <c r="G878" s="7">
        <v>46783</v>
      </c>
      <c r="H878" s="1" t="s">
        <v>31</v>
      </c>
      <c r="I878" s="1" t="str">
        <f>IF(G878&lt;=$K$1,"Pagado","Pendiente")</f>
        <v>Pendiente</v>
      </c>
    </row>
    <row r="879" spans="1:9" hidden="1">
      <c r="A879" s="2">
        <v>66235635</v>
      </c>
      <c r="B879" s="2">
        <v>43</v>
      </c>
      <c r="C879" s="8">
        <v>7916666.6699999999</v>
      </c>
      <c r="D879" s="8">
        <v>2928082.19</v>
      </c>
      <c r="E879" s="8">
        <v>351369.86000000127</v>
      </c>
      <c r="F879" s="8">
        <v>11196118.720000001</v>
      </c>
      <c r="G879" s="7">
        <v>46785</v>
      </c>
      <c r="H879" s="1" t="s">
        <v>26</v>
      </c>
      <c r="I879" s="1" t="str">
        <f>IF(G879&lt;=$K$1,"Pagado","Pendiente")</f>
        <v>Pendiente</v>
      </c>
    </row>
    <row r="880" spans="1:9" hidden="1">
      <c r="A880" s="2">
        <v>22044</v>
      </c>
      <c r="B880" s="2">
        <v>54</v>
      </c>
      <c r="C880" s="8">
        <v>1558020.1996183947</v>
      </c>
      <c r="D880" s="8">
        <v>1173977.6512288533</v>
      </c>
      <c r="E880" s="8">
        <v>140877.31814746239</v>
      </c>
      <c r="F880" s="8">
        <v>2872875.1689947103</v>
      </c>
      <c r="G880" s="7">
        <v>46785</v>
      </c>
      <c r="H880" s="1" t="s">
        <v>31</v>
      </c>
      <c r="I880" s="1" t="str">
        <f>IF(G880&lt;=$K$1,"Pagado","Pendiente")</f>
        <v>Pendiente</v>
      </c>
    </row>
    <row r="881" spans="1:9" hidden="1">
      <c r="A881" s="2">
        <v>119980</v>
      </c>
      <c r="B881" s="2">
        <v>39</v>
      </c>
      <c r="C881" s="8">
        <v>14166666.67</v>
      </c>
      <c r="D881" s="8">
        <v>8470502.2799999993</v>
      </c>
      <c r="E881" s="8">
        <f>+F881-D881-C881</f>
        <v>1016460.2699999996</v>
      </c>
      <c r="F881" s="8">
        <v>23653629.219999999</v>
      </c>
      <c r="G881" s="7">
        <v>46787</v>
      </c>
      <c r="H881" s="1" t="s">
        <v>26</v>
      </c>
      <c r="I881" s="1" t="str">
        <f>IF(G881&lt;=$K$1,"Pagado","Pendiente")</f>
        <v>Pendiente</v>
      </c>
    </row>
    <row r="882" spans="1:9" hidden="1">
      <c r="A882" s="2">
        <v>23700</v>
      </c>
      <c r="B882" s="2">
        <v>36</v>
      </c>
      <c r="C882" s="8">
        <v>21980546.969999999</v>
      </c>
      <c r="D882" s="8">
        <v>641350.19999999995</v>
      </c>
      <c r="E882" s="8">
        <v>76962.02</v>
      </c>
      <c r="F882" s="8">
        <v>22698859.189999998</v>
      </c>
      <c r="G882" s="7">
        <v>46790</v>
      </c>
      <c r="H882" s="1" t="s">
        <v>31</v>
      </c>
      <c r="I882" s="1" t="str">
        <f>IF(G882&lt;=$K$1,"Pagado","Pendiente")</f>
        <v>Pendiente</v>
      </c>
    </row>
    <row r="883" spans="1:9" hidden="1">
      <c r="A883" s="2">
        <v>20828</v>
      </c>
      <c r="B883" s="2">
        <v>62</v>
      </c>
      <c r="C883" s="8">
        <v>1288604.883415143</v>
      </c>
      <c r="D883" s="8">
        <v>495125.64218902984</v>
      </c>
      <c r="E883" s="8">
        <f>+D883*0.105</f>
        <v>51988.192429848132</v>
      </c>
      <c r="F883" s="8">
        <f>+C883+D883+E883</f>
        <v>1835718.7180340211</v>
      </c>
      <c r="G883" s="7">
        <v>46795</v>
      </c>
      <c r="H883" s="1" t="s">
        <v>31</v>
      </c>
      <c r="I883" s="1" t="str">
        <f>IF(G883&lt;=$K$1,"Pagado","Pendiente")</f>
        <v>Pendiente</v>
      </c>
    </row>
    <row r="884" spans="1:9" hidden="1">
      <c r="A884" s="2">
        <v>23996</v>
      </c>
      <c r="B884" s="2">
        <v>31</v>
      </c>
      <c r="C884" s="8">
        <v>1989589.25</v>
      </c>
      <c r="D884" s="8">
        <v>8567212.6799999997</v>
      </c>
      <c r="E884" s="8">
        <v>1028922.24</v>
      </c>
      <c r="F884" s="8">
        <f>+C884+D884+E884</f>
        <v>11585724.17</v>
      </c>
      <c r="G884" s="7">
        <v>46796</v>
      </c>
      <c r="H884" s="1" t="s">
        <v>31</v>
      </c>
      <c r="I884" s="1" t="str">
        <f>IF(G884&lt;=$K$1,"Pagado","Pendiente")</f>
        <v>Pendiente</v>
      </c>
    </row>
    <row r="885" spans="1:9" hidden="1">
      <c r="A885" s="2">
        <v>927328</v>
      </c>
      <c r="B885" s="2">
        <v>40</v>
      </c>
      <c r="C885" s="8">
        <v>8377694.6091623669</v>
      </c>
      <c r="D885" s="8">
        <v>5669325.0343035543</v>
      </c>
      <c r="E885" s="8">
        <v>680319.00411642657</v>
      </c>
      <c r="F885" s="8">
        <v>14727338.647582348</v>
      </c>
      <c r="G885" s="7">
        <v>46800</v>
      </c>
      <c r="H885" s="1" t="s">
        <v>32</v>
      </c>
      <c r="I885" s="1" t="str">
        <f>IF(G885&lt;=$K$1,"Pagado","Pendiente")</f>
        <v>Pendiente</v>
      </c>
    </row>
    <row r="886" spans="1:9" hidden="1">
      <c r="A886" s="2">
        <v>75472831</v>
      </c>
      <c r="B886" s="2">
        <v>40</v>
      </c>
      <c r="C886" s="8">
        <v>2083333.33</v>
      </c>
      <c r="D886" s="8">
        <v>1189041.1000000001</v>
      </c>
      <c r="E886" s="8">
        <f>+F886-D886-C886</f>
        <v>142684.93999999994</v>
      </c>
      <c r="F886" s="8">
        <v>3415059.37</v>
      </c>
      <c r="G886" s="7">
        <v>46800</v>
      </c>
      <c r="H886" s="1" t="s">
        <v>26</v>
      </c>
      <c r="I886" s="1" t="str">
        <f>IF(G886&lt;=$K$1,"Pagado","Pendiente")</f>
        <v>Pendiente</v>
      </c>
    </row>
    <row r="887" spans="1:9" hidden="1">
      <c r="A887" s="2">
        <v>863502400</v>
      </c>
      <c r="B887" s="2">
        <v>38</v>
      </c>
      <c r="C887" s="8">
        <v>5296181.6399999997</v>
      </c>
      <c r="D887" s="8">
        <v>4725405.59</v>
      </c>
      <c r="E887" s="8">
        <v>567048.67000000004</v>
      </c>
      <c r="F887" s="8">
        <v>10588635.9</v>
      </c>
      <c r="G887" s="7">
        <v>46800</v>
      </c>
      <c r="H887" s="1" t="s">
        <v>24</v>
      </c>
      <c r="I887" s="1" t="str">
        <f>IF(G887&lt;=$K$1,"Pagado","Pendiente")</f>
        <v>Pendiente</v>
      </c>
    </row>
    <row r="888" spans="1:9" hidden="1">
      <c r="A888" s="2">
        <v>863502600</v>
      </c>
      <c r="B888" s="2">
        <v>38</v>
      </c>
      <c r="C888" s="8">
        <v>2739404.29</v>
      </c>
      <c r="D888" s="8">
        <v>2444175.31</v>
      </c>
      <c r="E888" s="8">
        <v>293301.03999999998</v>
      </c>
      <c r="F888" s="8">
        <v>5476880.6399999997</v>
      </c>
      <c r="G888" s="7">
        <v>46800</v>
      </c>
      <c r="H888" s="1" t="s">
        <v>24</v>
      </c>
      <c r="I888" s="1" t="str">
        <f>IF(G888&lt;=$K$1,"Pagado","Pendiente")</f>
        <v>Pendiente</v>
      </c>
    </row>
    <row r="889" spans="1:9" hidden="1">
      <c r="A889" s="2">
        <v>23790</v>
      </c>
      <c r="B889" s="2">
        <v>35</v>
      </c>
      <c r="C889" s="8">
        <v>21499738.384075981</v>
      </c>
      <c r="D889" s="8">
        <v>1295495.71058938</v>
      </c>
      <c r="E889" s="8">
        <v>155459.48527072559</v>
      </c>
      <c r="F889" s="8">
        <v>22950693.579936087</v>
      </c>
      <c r="G889" s="7">
        <v>46800</v>
      </c>
      <c r="H889" s="1" t="s">
        <v>31</v>
      </c>
      <c r="I889" s="1" t="str">
        <f>IF(G889&lt;=$K$1,"Pagado","Pendiente")</f>
        <v>Pendiente</v>
      </c>
    </row>
    <row r="890" spans="1:9" hidden="1">
      <c r="A890" s="2">
        <v>24004</v>
      </c>
      <c r="B890" s="2">
        <v>31</v>
      </c>
      <c r="C890" s="8">
        <v>2142850.59</v>
      </c>
      <c r="D890" s="8">
        <v>3631658.98</v>
      </c>
      <c r="E890" s="8">
        <v>436162.24</v>
      </c>
      <c r="F890" s="8">
        <v>6210671.8099999996</v>
      </c>
      <c r="G890" s="7">
        <v>46800</v>
      </c>
      <c r="H890" s="1" t="s">
        <v>31</v>
      </c>
      <c r="I890" s="1" t="str">
        <f>IF(G890&lt;=$K$1,"Pagado","Pendiente")</f>
        <v>Pendiente</v>
      </c>
    </row>
    <row r="891" spans="1:9" hidden="1">
      <c r="A891" s="2">
        <v>65210751</v>
      </c>
      <c r="B891" s="2">
        <v>44</v>
      </c>
      <c r="C891" s="8">
        <v>8958333.3300000001</v>
      </c>
      <c r="D891" s="8">
        <v>3233590.18</v>
      </c>
      <c r="E891" s="8">
        <v>388030.8200000003</v>
      </c>
      <c r="F891" s="8">
        <v>12579954.33</v>
      </c>
      <c r="G891" s="7">
        <v>46801</v>
      </c>
      <c r="H891" s="1" t="s">
        <v>26</v>
      </c>
      <c r="I891" s="1" t="str">
        <f>IF(G891&lt;=$K$1,"Pagado","Pendiente")</f>
        <v>Pendiente</v>
      </c>
    </row>
    <row r="892" spans="1:9" hidden="1">
      <c r="A892" s="2">
        <v>23430</v>
      </c>
      <c r="B892" s="2">
        <v>43</v>
      </c>
      <c r="C892" s="8">
        <v>1179564.81</v>
      </c>
      <c r="D892" s="8">
        <v>3409859.44</v>
      </c>
      <c r="E892" s="8">
        <v>409183.13</v>
      </c>
      <c r="F892" s="8">
        <v>4998607.38</v>
      </c>
      <c r="G892" s="7">
        <v>46802</v>
      </c>
      <c r="H892" s="1" t="s">
        <v>31</v>
      </c>
      <c r="I892" s="1" t="str">
        <f>IF(G892&lt;=$K$1,"Pagado","Pendiente")</f>
        <v>Pendiente</v>
      </c>
    </row>
    <row r="893" spans="1:9" hidden="1">
      <c r="A893" s="2">
        <v>23467</v>
      </c>
      <c r="B893" s="2">
        <v>42</v>
      </c>
      <c r="C893" s="8">
        <v>4423368.08</v>
      </c>
      <c r="D893" s="8">
        <v>12786972.880000001</v>
      </c>
      <c r="E893" s="8">
        <v>1534436.74</v>
      </c>
      <c r="F893" s="8">
        <v>18744777.700000003</v>
      </c>
      <c r="G893" s="7">
        <v>46802</v>
      </c>
      <c r="H893" s="1" t="s">
        <v>31</v>
      </c>
      <c r="I893" s="1" t="str">
        <f>IF(G893&lt;=$K$1,"Pagado","Pendiente")</f>
        <v>Pendiente</v>
      </c>
    </row>
    <row r="894" spans="1:9" hidden="1">
      <c r="A894" s="2">
        <v>394949</v>
      </c>
      <c r="B894" s="2">
        <v>38</v>
      </c>
      <c r="C894" s="8">
        <v>1845307.09</v>
      </c>
      <c r="D894" s="8">
        <v>3061010.2</v>
      </c>
      <c r="E894" s="8">
        <v>367321.22</v>
      </c>
      <c r="F894" s="8">
        <v>5273638.51</v>
      </c>
      <c r="G894" s="7">
        <v>46809</v>
      </c>
      <c r="H894" s="1" t="s">
        <v>30</v>
      </c>
      <c r="I894" s="1" t="str">
        <f>IF(G894&lt;=$K$1,"Pagado","Pendiente")</f>
        <v>Pendiente</v>
      </c>
    </row>
    <row r="895" spans="1:9" hidden="1">
      <c r="A895" s="2">
        <v>347916</v>
      </c>
      <c r="B895" s="2">
        <v>44</v>
      </c>
      <c r="C895" s="8">
        <v>4433881.9570128042</v>
      </c>
      <c r="D895" s="8">
        <v>4019301.8112466219</v>
      </c>
      <c r="E895" s="8">
        <v>482316.21734959463</v>
      </c>
      <c r="F895" s="8">
        <v>8935499.985609021</v>
      </c>
      <c r="G895" s="7">
        <v>46810</v>
      </c>
      <c r="H895" s="1" t="s">
        <v>30</v>
      </c>
      <c r="I895" s="1" t="str">
        <f>IF(G895&lt;=$K$1,"Pagado","Pendiente")</f>
        <v>Pendiente</v>
      </c>
    </row>
    <row r="896" spans="1:9" hidden="1">
      <c r="A896" s="2">
        <v>2537844</v>
      </c>
      <c r="B896" s="2">
        <v>47</v>
      </c>
      <c r="C896" s="8">
        <v>2500000</v>
      </c>
      <c r="D896" s="8">
        <v>127397.255</v>
      </c>
      <c r="E896" s="8">
        <v>15287.670599999999</v>
      </c>
      <c r="F896" s="8">
        <v>2642684.9255999997</v>
      </c>
      <c r="G896" s="7">
        <v>46810</v>
      </c>
      <c r="H896" s="1" t="s">
        <v>29</v>
      </c>
      <c r="I896" s="1" t="str">
        <f>IF(G896&lt;=$K$1,"Pagado","Pendiente")</f>
        <v>Pendiente</v>
      </c>
    </row>
    <row r="897" spans="1:9" hidden="1">
      <c r="A897" s="2">
        <v>843950300</v>
      </c>
      <c r="B897" s="2">
        <v>41</v>
      </c>
      <c r="C897" s="8">
        <v>4480468.8499999996</v>
      </c>
      <c r="D897" s="8">
        <v>3294900.55</v>
      </c>
      <c r="E897" s="8">
        <f>+F897-D897-C897</f>
        <v>395388.0700000003</v>
      </c>
      <c r="F897" s="8">
        <v>8170757.4699999997</v>
      </c>
      <c r="G897" s="7">
        <v>46810</v>
      </c>
      <c r="H897" s="1" t="s">
        <v>24</v>
      </c>
      <c r="I897" s="1" t="str">
        <f>IF(G897&lt;=$K$1,"Pagado","Pendiente")</f>
        <v>Pendiente</v>
      </c>
    </row>
    <row r="898" spans="1:9" hidden="1">
      <c r="A898" s="2">
        <v>31295</v>
      </c>
      <c r="B898" s="2">
        <v>30</v>
      </c>
      <c r="C898" s="8">
        <v>3131129.88</v>
      </c>
      <c r="D898" s="8">
        <v>4128890.34</v>
      </c>
      <c r="E898" s="8">
        <v>495466.85</v>
      </c>
      <c r="F898" s="8">
        <v>7755487.0700000003</v>
      </c>
      <c r="G898" s="7">
        <v>46565</v>
      </c>
      <c r="H898" s="1" t="s">
        <v>35</v>
      </c>
      <c r="I898" s="1" t="str">
        <f>IF(G898&lt;=$K$1,"Pagado","Pendiente")</f>
        <v>Pendiente</v>
      </c>
    </row>
    <row r="899" spans="1:9" hidden="1">
      <c r="A899" s="2">
        <v>20466</v>
      </c>
      <c r="B899" s="2">
        <v>66</v>
      </c>
      <c r="C899" s="8">
        <v>1107562.1834733542</v>
      </c>
      <c r="D899" s="8">
        <v>254599.6003134315</v>
      </c>
      <c r="E899" s="8">
        <f>+D899*0.12</f>
        <v>30551.95203761178</v>
      </c>
      <c r="F899" s="8">
        <f>+C899+D899+E899</f>
        <v>1392713.7358243975</v>
      </c>
      <c r="G899" s="7">
        <v>46812</v>
      </c>
      <c r="H899" s="1" t="s">
        <v>31</v>
      </c>
      <c r="I899" s="1" t="str">
        <f>IF(G899&lt;=$K$1,"Pagado","Pendiente")</f>
        <v>Pendiente</v>
      </c>
    </row>
    <row r="900" spans="1:9" hidden="1">
      <c r="A900" s="2">
        <v>66235635</v>
      </c>
      <c r="B900" s="2">
        <v>44</v>
      </c>
      <c r="C900" s="8">
        <v>7916666.6699999999</v>
      </c>
      <c r="D900" s="8">
        <v>2673230.59</v>
      </c>
      <c r="E900" s="8">
        <v>320787.66999999993</v>
      </c>
      <c r="F900" s="8">
        <v>10910684.93</v>
      </c>
      <c r="G900" s="7">
        <v>46814</v>
      </c>
      <c r="H900" s="1" t="s">
        <v>26</v>
      </c>
      <c r="I900" s="1" t="str">
        <f>IF(G900&lt;=$K$1,"Pagado","Pendiente")</f>
        <v>Pendiente</v>
      </c>
    </row>
    <row r="901" spans="1:9" hidden="1">
      <c r="A901" s="2">
        <v>22044</v>
      </c>
      <c r="B901" s="2">
        <v>55</v>
      </c>
      <c r="C901" s="8">
        <v>1604760.8056069466</v>
      </c>
      <c r="D901" s="8">
        <v>1127237.0452403014</v>
      </c>
      <c r="E901" s="8">
        <v>135268.44542883616</v>
      </c>
      <c r="F901" s="8">
        <v>2867266.2962760841</v>
      </c>
      <c r="G901" s="7">
        <v>46814</v>
      </c>
      <c r="H901" s="1" t="s">
        <v>31</v>
      </c>
      <c r="I901" s="1" t="str">
        <f>IF(G901&lt;=$K$1,"Pagado","Pendiente")</f>
        <v>Pendiente</v>
      </c>
    </row>
    <row r="902" spans="1:9" hidden="1">
      <c r="A902" s="2">
        <v>119980</v>
      </c>
      <c r="B902" s="2">
        <v>40</v>
      </c>
      <c r="C902" s="8">
        <v>14166666.67</v>
      </c>
      <c r="D902" s="8">
        <v>8085479.4500000002</v>
      </c>
      <c r="E902" s="8">
        <f>+F902-D902-C902</f>
        <v>970257.52999999933</v>
      </c>
      <c r="F902" s="8">
        <v>23222403.649999999</v>
      </c>
      <c r="G902" s="7">
        <v>46816</v>
      </c>
      <c r="H902" s="1" t="s">
        <v>26</v>
      </c>
      <c r="I902" s="1" t="str">
        <f>IF(G902&lt;=$K$1,"Pagado","Pendiente")</f>
        <v>Pendiente</v>
      </c>
    </row>
    <row r="903" spans="1:9" hidden="1">
      <c r="A903" s="2">
        <v>20828</v>
      </c>
      <c r="B903" s="2">
        <v>63</v>
      </c>
      <c r="C903" s="8">
        <v>1327263.0299175973</v>
      </c>
      <c r="D903" s="8">
        <v>456467.4956865756</v>
      </c>
      <c r="E903" s="8">
        <f>+D903*0.105</f>
        <v>47929.087047090434</v>
      </c>
      <c r="F903" s="8">
        <f>+C903+D903+E903</f>
        <v>1831659.6126512634</v>
      </c>
      <c r="G903" s="7">
        <v>46824</v>
      </c>
      <c r="H903" s="1" t="s">
        <v>31</v>
      </c>
      <c r="I903" s="1" t="str">
        <f>IF(G903&lt;=$K$1,"Pagado","Pendiente")</f>
        <v>Pendiente</v>
      </c>
    </row>
    <row r="904" spans="1:9" hidden="1">
      <c r="A904" s="2">
        <v>23996</v>
      </c>
      <c r="B904" s="2">
        <v>32</v>
      </c>
      <c r="C904" s="8">
        <v>2052036.46</v>
      </c>
      <c r="D904" s="8">
        <v>8504765.4700000007</v>
      </c>
      <c r="E904" s="8">
        <v>1021422.33</v>
      </c>
      <c r="F904" s="8">
        <f>+C904+D904+E904</f>
        <v>11578224.26</v>
      </c>
      <c r="G904" s="7">
        <v>46825</v>
      </c>
      <c r="H904" s="1" t="s">
        <v>31</v>
      </c>
      <c r="I904" s="1" t="str">
        <f>IF(G904&lt;=$K$1,"Pagado","Pendiente")</f>
        <v>Pendiente</v>
      </c>
    </row>
    <row r="905" spans="1:9" hidden="1">
      <c r="A905" s="2">
        <v>927328</v>
      </c>
      <c r="B905" s="2">
        <v>41</v>
      </c>
      <c r="C905" s="8">
        <v>8586438.8331739958</v>
      </c>
      <c r="D905" s="8">
        <v>5460580.8102919254</v>
      </c>
      <c r="E905" s="8">
        <v>655269.69723503105</v>
      </c>
      <c r="F905" s="8">
        <v>14702289.340700952</v>
      </c>
      <c r="G905" s="7">
        <v>46829</v>
      </c>
      <c r="H905" s="1" t="s">
        <v>32</v>
      </c>
      <c r="I905" s="1" t="str">
        <f>IF(G905&lt;=$K$1,"Pagado","Pendiente")</f>
        <v>Pendiente</v>
      </c>
    </row>
    <row r="906" spans="1:9" hidden="1">
      <c r="A906" s="2">
        <v>75472831</v>
      </c>
      <c r="B906" s="2">
        <v>41</v>
      </c>
      <c r="C906" s="8">
        <v>2083333.33</v>
      </c>
      <c r="D906" s="8">
        <v>1059360.73</v>
      </c>
      <c r="E906" s="8">
        <f>+F906-D906-C906</f>
        <v>127123.29000000004</v>
      </c>
      <c r="F906" s="8">
        <v>3269817.35</v>
      </c>
      <c r="G906" s="7">
        <v>46829</v>
      </c>
      <c r="H906" s="1" t="s">
        <v>26</v>
      </c>
      <c r="I906" s="1" t="str">
        <f>IF(G906&lt;=$K$1,"Pagado","Pendiente")</f>
        <v>Pendiente</v>
      </c>
    </row>
    <row r="907" spans="1:9" hidden="1">
      <c r="A907" s="2">
        <v>863502400</v>
      </c>
      <c r="B907" s="2">
        <v>39</v>
      </c>
      <c r="C907" s="8">
        <v>5444183.4299999997</v>
      </c>
      <c r="D907" s="8">
        <v>4577403.8</v>
      </c>
      <c r="E907" s="8">
        <v>549288.46</v>
      </c>
      <c r="F907" s="8">
        <v>10570875.689999999</v>
      </c>
      <c r="G907" s="7">
        <v>46829</v>
      </c>
      <c r="H907" s="1" t="s">
        <v>24</v>
      </c>
      <c r="I907" s="1" t="str">
        <f>IF(G907&lt;=$K$1,"Pagado","Pendiente")</f>
        <v>Pendiente</v>
      </c>
    </row>
    <row r="908" spans="1:9" hidden="1">
      <c r="A908" s="2">
        <v>863502600</v>
      </c>
      <c r="B908" s="2">
        <v>39</v>
      </c>
      <c r="C908" s="8">
        <v>2815956.94</v>
      </c>
      <c r="D908" s="8">
        <v>2367622.66</v>
      </c>
      <c r="E908" s="8">
        <v>284114.71999999997</v>
      </c>
      <c r="F908" s="8">
        <v>5467694.3200000003</v>
      </c>
      <c r="G908" s="7">
        <v>46829</v>
      </c>
      <c r="H908" s="1" t="s">
        <v>24</v>
      </c>
      <c r="I908" s="1" t="str">
        <f>IF(G908&lt;=$K$1,"Pagado","Pendiente")</f>
        <v>Pendiente</v>
      </c>
    </row>
    <row r="909" spans="1:9" hidden="1">
      <c r="A909" s="2">
        <v>23790</v>
      </c>
      <c r="B909" s="2">
        <v>36</v>
      </c>
      <c r="C909" s="8">
        <v>22138011.867353234</v>
      </c>
      <c r="D909" s="8">
        <v>657222.22731212433</v>
      </c>
      <c r="E909" s="8">
        <v>78866.667277454922</v>
      </c>
      <c r="F909" s="8">
        <v>22874100.761942815</v>
      </c>
      <c r="G909" s="7">
        <v>46829</v>
      </c>
      <c r="H909" s="1" t="s">
        <v>31</v>
      </c>
      <c r="I909" s="1" t="str">
        <f>IF(G909&lt;=$K$1,"Pagado","Pendiente")</f>
        <v>Pendiente</v>
      </c>
    </row>
    <row r="910" spans="1:9" hidden="1">
      <c r="A910" s="2">
        <v>24004</v>
      </c>
      <c r="B910" s="2">
        <v>32</v>
      </c>
      <c r="C910" s="8">
        <v>2214841.5699999998</v>
      </c>
      <c r="D910" s="8">
        <v>3559668</v>
      </c>
      <c r="E910" s="8">
        <v>427516.13</v>
      </c>
      <c r="F910" s="8">
        <v>6202025.7000000002</v>
      </c>
      <c r="G910" s="7">
        <v>46829</v>
      </c>
      <c r="H910" s="1" t="s">
        <v>31</v>
      </c>
      <c r="I910" s="1" t="str">
        <f>IF(G910&lt;=$K$1,"Pagado","Pendiente")</f>
        <v>Pendiente</v>
      </c>
    </row>
    <row r="911" spans="1:9" hidden="1">
      <c r="A911" s="2">
        <v>65210751</v>
      </c>
      <c r="B911" s="2">
        <v>45</v>
      </c>
      <c r="C911" s="8">
        <v>8958333.3300000001</v>
      </c>
      <c r="D911" s="8">
        <v>3043379</v>
      </c>
      <c r="E911" s="8">
        <v>365205.49000000022</v>
      </c>
      <c r="F911" s="8">
        <v>12366917.82</v>
      </c>
      <c r="G911" s="7">
        <v>46830</v>
      </c>
      <c r="H911" s="1" t="s">
        <v>26</v>
      </c>
      <c r="I911" s="1" t="str">
        <f>IF(G911&lt;=$K$1,"Pagado","Pendiente")</f>
        <v>Pendiente</v>
      </c>
    </row>
    <row r="912" spans="1:9" hidden="1">
      <c r="A912" s="2">
        <v>23430</v>
      </c>
      <c r="B912" s="2">
        <v>44</v>
      </c>
      <c r="C912" s="8">
        <v>1218345.02</v>
      </c>
      <c r="D912" s="8">
        <v>3371079.23</v>
      </c>
      <c r="E912" s="8">
        <v>404529.51</v>
      </c>
      <c r="F912" s="8">
        <v>4993953.76</v>
      </c>
      <c r="G912" s="7">
        <v>46831</v>
      </c>
      <c r="H912" s="1" t="s">
        <v>31</v>
      </c>
      <c r="I912" s="1" t="str">
        <f>IF(G912&lt;=$K$1,"Pagado","Pendiente")</f>
        <v>Pendiente</v>
      </c>
    </row>
    <row r="913" spans="1:9" hidden="1">
      <c r="A913" s="2">
        <v>23467</v>
      </c>
      <c r="B913" s="2">
        <v>43</v>
      </c>
      <c r="C913" s="8">
        <v>4568793.88</v>
      </c>
      <c r="D913" s="8">
        <v>12641547.08</v>
      </c>
      <c r="E913" s="8">
        <v>1516985.65</v>
      </c>
      <c r="F913" s="8">
        <v>18727326.609999999</v>
      </c>
      <c r="G913" s="7">
        <v>46831</v>
      </c>
      <c r="H913" s="1" t="s">
        <v>31</v>
      </c>
      <c r="I913" s="1" t="str">
        <f>IF(G913&lt;=$K$1,"Pagado","Pendiente")</f>
        <v>Pendiente</v>
      </c>
    </row>
    <row r="914" spans="1:9" hidden="1">
      <c r="A914" s="2">
        <v>394949</v>
      </c>
      <c r="B914" s="2">
        <v>39</v>
      </c>
      <c r="C914" s="8">
        <v>1897590.79</v>
      </c>
      <c r="D914" s="8">
        <v>3008726.5</v>
      </c>
      <c r="E914" s="8">
        <v>361047.17</v>
      </c>
      <c r="F914" s="8">
        <v>5267364.46</v>
      </c>
      <c r="G914" s="7">
        <v>46838</v>
      </c>
      <c r="H914" s="1" t="s">
        <v>30</v>
      </c>
      <c r="I914" s="1" t="str">
        <f>IF(G914&lt;=$K$1,"Pagado","Pendiente")</f>
        <v>Pendiente</v>
      </c>
    </row>
    <row r="915" spans="1:9" hidden="1">
      <c r="A915" s="2">
        <v>347916</v>
      </c>
      <c r="B915" s="2">
        <v>45</v>
      </c>
      <c r="C915" s="8">
        <v>4533644.3010455929</v>
      </c>
      <c r="D915" s="8">
        <v>3919539.4672138337</v>
      </c>
      <c r="E915" s="8">
        <v>470344.73606566002</v>
      </c>
      <c r="F915" s="8">
        <v>8923528.5043250863</v>
      </c>
      <c r="G915" s="7">
        <v>46839</v>
      </c>
      <c r="H915" s="1" t="s">
        <v>30</v>
      </c>
      <c r="I915" s="1" t="str">
        <f>IF(G915&lt;=$K$1,"Pagado","Pendiente")</f>
        <v>Pendiente</v>
      </c>
    </row>
    <row r="916" spans="1:9" hidden="1">
      <c r="A916" s="2">
        <v>2537844</v>
      </c>
      <c r="B916" s="2">
        <v>48</v>
      </c>
      <c r="C916" s="8">
        <v>2500000</v>
      </c>
      <c r="D916" s="8">
        <v>63698.627500000002</v>
      </c>
      <c r="E916" s="8">
        <v>7643.8352999999997</v>
      </c>
      <c r="F916" s="8">
        <v>2571342.4627999999</v>
      </c>
      <c r="G916" s="7">
        <v>46839</v>
      </c>
      <c r="H916" s="1" t="s">
        <v>29</v>
      </c>
      <c r="I916" s="1" t="str">
        <f>IF(G916&lt;=$K$1,"Pagado","Pendiente")</f>
        <v>Pendiente</v>
      </c>
    </row>
    <row r="917" spans="1:9" hidden="1">
      <c r="A917" s="2">
        <v>843950300</v>
      </c>
      <c r="B917" s="2">
        <v>42</v>
      </c>
      <c r="C917" s="8">
        <v>4605675.55</v>
      </c>
      <c r="D917" s="8">
        <v>3169693.85</v>
      </c>
      <c r="E917" s="8">
        <f>+F917-D917-C917</f>
        <v>380363.26000000071</v>
      </c>
      <c r="F917" s="8">
        <v>8155732.6600000001</v>
      </c>
      <c r="G917" s="7">
        <v>46839</v>
      </c>
      <c r="H917" s="1" t="s">
        <v>24</v>
      </c>
      <c r="I917" s="1" t="str">
        <f>IF(G917&lt;=$K$1,"Pagado","Pendiente")</f>
        <v>Pendiente</v>
      </c>
    </row>
    <row r="918" spans="1:9" hidden="1">
      <c r="A918" s="2">
        <v>31295</v>
      </c>
      <c r="B918" s="2">
        <v>31</v>
      </c>
      <c r="C918" s="8">
        <v>3217235.95</v>
      </c>
      <c r="D918" s="8">
        <v>4042784.27</v>
      </c>
      <c r="E918" s="8">
        <v>485134.11</v>
      </c>
      <c r="F918" s="8">
        <v>7745154.3300000001</v>
      </c>
      <c r="G918" s="7">
        <v>46595</v>
      </c>
      <c r="H918" s="1" t="s">
        <v>35</v>
      </c>
      <c r="I918" s="1" t="str">
        <f>IF(G918&lt;=$K$1,"Pagado","Pendiente")</f>
        <v>Pendiente</v>
      </c>
    </row>
    <row r="919" spans="1:9" hidden="1">
      <c r="A919" s="2">
        <v>20466</v>
      </c>
      <c r="B919" s="2">
        <v>67</v>
      </c>
      <c r="C919" s="8">
        <v>1140789.0489775548</v>
      </c>
      <c r="D919" s="8">
        <v>221372.7348092309</v>
      </c>
      <c r="E919" s="8">
        <f>+D919*0.12</f>
        <v>26564.728177107707</v>
      </c>
      <c r="F919" s="8">
        <f>+C919+D919+E919</f>
        <v>1388726.5119638934</v>
      </c>
      <c r="G919" s="7">
        <v>46843</v>
      </c>
      <c r="H919" s="1" t="s">
        <v>31</v>
      </c>
      <c r="I919" s="1" t="str">
        <f>IF(G919&lt;=$K$1,"Pagado","Pendiente")</f>
        <v>Pendiente</v>
      </c>
    </row>
    <row r="920" spans="1:9" hidden="1">
      <c r="A920" s="2">
        <v>66235635</v>
      </c>
      <c r="B920" s="2">
        <v>45</v>
      </c>
      <c r="C920" s="8">
        <v>7916666.6699999999</v>
      </c>
      <c r="D920" s="8">
        <v>2776255.71</v>
      </c>
      <c r="E920" s="8">
        <v>333150.69000000041</v>
      </c>
      <c r="F920" s="8">
        <v>11026073.07</v>
      </c>
      <c r="G920" s="7">
        <v>46845</v>
      </c>
      <c r="H920" s="1" t="s">
        <v>26</v>
      </c>
      <c r="I920" s="1" t="str">
        <f>IF(G920&lt;=$K$1,"Pagado","Pendiente")</f>
        <v>Pendiente</v>
      </c>
    </row>
    <row r="921" spans="1:9" hidden="1">
      <c r="A921" s="2">
        <v>22044</v>
      </c>
      <c r="B921" s="2">
        <v>56</v>
      </c>
      <c r="C921" s="8">
        <v>1652903.6297751549</v>
      </c>
      <c r="D921" s="8">
        <v>1079094.2210720931</v>
      </c>
      <c r="E921" s="8">
        <v>129491.30652865117</v>
      </c>
      <c r="F921" s="8">
        <v>2861489.1573758991</v>
      </c>
      <c r="G921" s="7">
        <v>46845</v>
      </c>
      <c r="H921" s="1" t="s">
        <v>31</v>
      </c>
      <c r="I921" s="1" t="str">
        <f>IF(G921&lt;=$K$1,"Pagado","Pendiente")</f>
        <v>Pendiente</v>
      </c>
    </row>
    <row r="922" spans="1:9" hidden="1">
      <c r="A922" s="2">
        <v>119980</v>
      </c>
      <c r="B922" s="2">
        <v>41</v>
      </c>
      <c r="C922" s="8">
        <v>14166666.67</v>
      </c>
      <c r="D922" s="8">
        <v>7203652.9699999997</v>
      </c>
      <c r="E922" s="8">
        <f>+F922-D922-C922</f>
        <v>864438.34999999963</v>
      </c>
      <c r="F922" s="8">
        <v>22234757.989999998</v>
      </c>
      <c r="G922" s="7">
        <v>46847</v>
      </c>
      <c r="H922" s="1" t="s">
        <v>26</v>
      </c>
      <c r="I922" s="1" t="str">
        <f>IF(G922&lt;=$K$1,"Pagado","Pendiente")</f>
        <v>Pendiente</v>
      </c>
    </row>
    <row r="923" spans="1:9" hidden="1">
      <c r="A923" s="2">
        <v>20828</v>
      </c>
      <c r="B923" s="2">
        <v>64</v>
      </c>
      <c r="C923" s="8">
        <v>1367080.9208151251</v>
      </c>
      <c r="D923" s="8">
        <v>416649.60478904768</v>
      </c>
      <c r="E923" s="8">
        <f>+D923*0.105</f>
        <v>43748.208502850008</v>
      </c>
      <c r="F923" s="8">
        <f>+C923+D923+E923</f>
        <v>1827478.7341070229</v>
      </c>
      <c r="G923" s="7">
        <v>46855</v>
      </c>
      <c r="H923" s="1" t="s">
        <v>31</v>
      </c>
      <c r="I923" s="1" t="str">
        <f>IF(G923&lt;=$K$1,"Pagado","Pendiente")</f>
        <v>Pendiente</v>
      </c>
    </row>
    <row r="924" spans="1:9" hidden="1">
      <c r="A924" s="2">
        <v>23996</v>
      </c>
      <c r="B924" s="2">
        <v>33</v>
      </c>
      <c r="C924" s="8">
        <v>2116443.7000000002</v>
      </c>
      <c r="D924" s="8">
        <v>8440358.2300000004</v>
      </c>
      <c r="E924" s="8">
        <v>1013687.02</v>
      </c>
      <c r="F924" s="8">
        <f>+C924+D924+E924</f>
        <v>11570488.949999999</v>
      </c>
      <c r="G924" s="7">
        <v>46856</v>
      </c>
      <c r="H924" s="1" t="s">
        <v>31</v>
      </c>
      <c r="I924" s="1" t="str">
        <f>IF(G924&lt;=$K$1,"Pagado","Pendiente")</f>
        <v>Pendiente</v>
      </c>
    </row>
    <row r="925" spans="1:9" hidden="1">
      <c r="A925" s="2">
        <v>927328</v>
      </c>
      <c r="B925" s="2">
        <v>42</v>
      </c>
      <c r="C925" s="8">
        <v>8800384.2674339153</v>
      </c>
      <c r="D925" s="8">
        <v>5246635.3760320069</v>
      </c>
      <c r="E925" s="8">
        <v>629596.24512384087</v>
      </c>
      <c r="F925" s="8">
        <v>14676615.888589762</v>
      </c>
      <c r="G925" s="7">
        <v>46860</v>
      </c>
      <c r="H925" s="1" t="s">
        <v>32</v>
      </c>
      <c r="I925" s="1" t="str">
        <f>IF(G925&lt;=$K$1,"Pagado","Pendiente")</f>
        <v>Pendiente</v>
      </c>
    </row>
    <row r="926" spans="1:9" hidden="1">
      <c r="A926" s="2">
        <v>75472831</v>
      </c>
      <c r="B926" s="2">
        <v>42</v>
      </c>
      <c r="C926" s="8">
        <v>2083333.33</v>
      </c>
      <c r="D926" s="8">
        <v>1075799.0900000001</v>
      </c>
      <c r="E926" s="8">
        <f>+F926-D926-C926</f>
        <v>129095.88999999966</v>
      </c>
      <c r="F926" s="8">
        <v>3288228.31</v>
      </c>
      <c r="G926" s="7">
        <v>46860</v>
      </c>
      <c r="H926" s="1" t="s">
        <v>26</v>
      </c>
      <c r="I926" s="1" t="str">
        <f>IF(G926&lt;=$K$1,"Pagado","Pendiente")</f>
        <v>Pendiente</v>
      </c>
    </row>
    <row r="927" spans="1:9" hidden="1">
      <c r="A927" s="2">
        <v>863502400</v>
      </c>
      <c r="B927" s="2">
        <v>40</v>
      </c>
      <c r="C927" s="8">
        <v>5596321.1399999997</v>
      </c>
      <c r="D927" s="8">
        <v>4425266.09</v>
      </c>
      <c r="E927" s="8">
        <v>531031.93000000005</v>
      </c>
      <c r="F927" s="8">
        <v>10552619.16</v>
      </c>
      <c r="G927" s="7">
        <v>46860</v>
      </c>
      <c r="H927" s="1" t="s">
        <v>24</v>
      </c>
      <c r="I927" s="1" t="str">
        <f>IF(G927&lt;=$K$1,"Pagado","Pendiente")</f>
        <v>Pendiente</v>
      </c>
    </row>
    <row r="928" spans="1:9" hidden="1">
      <c r="A928" s="2">
        <v>863502600</v>
      </c>
      <c r="B928" s="2">
        <v>40</v>
      </c>
      <c r="C928" s="8">
        <v>2894648.86</v>
      </c>
      <c r="D928" s="8">
        <v>2288930.7400000002</v>
      </c>
      <c r="E928" s="8">
        <v>274671.69</v>
      </c>
      <c r="F928" s="8">
        <v>5458251.29</v>
      </c>
      <c r="G928" s="7">
        <v>46860</v>
      </c>
      <c r="H928" s="1" t="s">
        <v>24</v>
      </c>
      <c r="I928" s="1" t="str">
        <f>IF(G928&lt;=$K$1,"Pagado","Pendiente")</f>
        <v>Pendiente</v>
      </c>
    </row>
    <row r="929" spans="1:9" hidden="1">
      <c r="A929" s="2">
        <v>24004</v>
      </c>
      <c r="B929" s="2">
        <v>33</v>
      </c>
      <c r="C929" s="8">
        <v>2289251.14</v>
      </c>
      <c r="D929" s="8">
        <v>3485258.43</v>
      </c>
      <c r="E929" s="8">
        <v>418579.55</v>
      </c>
      <c r="F929" s="8">
        <v>6193089.1200000001</v>
      </c>
      <c r="G929" s="7">
        <v>46860</v>
      </c>
      <c r="H929" s="1" t="s">
        <v>31</v>
      </c>
      <c r="I929" s="1" t="str">
        <f>IF(G929&lt;=$K$1,"Pagado","Pendiente")</f>
        <v>Pendiente</v>
      </c>
    </row>
    <row r="930" spans="1:9" hidden="1">
      <c r="A930" s="2">
        <v>65210751</v>
      </c>
      <c r="B930" s="2">
        <v>46</v>
      </c>
      <c r="C930" s="8">
        <v>8958333.3300000001</v>
      </c>
      <c r="D930" s="8">
        <v>2669092.4700000002</v>
      </c>
      <c r="E930" s="8">
        <v>320291.09999999963</v>
      </c>
      <c r="F930" s="8">
        <v>11947716.9</v>
      </c>
      <c r="G930" s="7">
        <v>46861</v>
      </c>
      <c r="H930" s="1" t="s">
        <v>26</v>
      </c>
      <c r="I930" s="1" t="str">
        <f>IF(G930&lt;=$K$1,"Pagado","Pendiente")</f>
        <v>Pendiente</v>
      </c>
    </row>
    <row r="931" spans="1:9" hidden="1">
      <c r="A931" s="2">
        <v>23430</v>
      </c>
      <c r="B931" s="2">
        <v>45</v>
      </c>
      <c r="C931" s="8">
        <v>1258400.2</v>
      </c>
      <c r="D931" s="8">
        <v>3331024.05</v>
      </c>
      <c r="E931" s="8">
        <v>399722.89</v>
      </c>
      <c r="F931" s="8">
        <v>4989147.1399999997</v>
      </c>
      <c r="G931" s="7">
        <v>46862</v>
      </c>
      <c r="H931" s="1" t="s">
        <v>31</v>
      </c>
      <c r="I931" s="1" t="str">
        <f>IF(G931&lt;=$K$1,"Pagado","Pendiente")</f>
        <v>Pendiente</v>
      </c>
    </row>
    <row r="932" spans="1:9" hidden="1">
      <c r="A932" s="2">
        <v>23467</v>
      </c>
      <c r="B932" s="2">
        <v>44</v>
      </c>
      <c r="C932" s="8">
        <v>4719000.8</v>
      </c>
      <c r="D932" s="8">
        <v>12491340.16</v>
      </c>
      <c r="E932" s="8">
        <v>1498960.82</v>
      </c>
      <c r="F932" s="8">
        <v>18709301.780000001</v>
      </c>
      <c r="G932" s="7">
        <v>46862</v>
      </c>
      <c r="H932" s="1" t="s">
        <v>31</v>
      </c>
      <c r="I932" s="1" t="str">
        <f>IF(G932&lt;=$K$1,"Pagado","Pendiente")</f>
        <v>Pendiente</v>
      </c>
    </row>
    <row r="933" spans="1:9" hidden="1">
      <c r="A933" s="2">
        <v>394949</v>
      </c>
      <c r="B933" s="2">
        <v>40</v>
      </c>
      <c r="C933" s="8">
        <v>1951355.86</v>
      </c>
      <c r="D933" s="8">
        <v>2954961.43</v>
      </c>
      <c r="E933" s="8">
        <v>354595.37</v>
      </c>
      <c r="F933" s="8">
        <v>5260912.66</v>
      </c>
      <c r="G933" s="7">
        <v>46869</v>
      </c>
      <c r="H933" s="1" t="s">
        <v>30</v>
      </c>
      <c r="I933" s="1" t="str">
        <f>IF(G933&lt;=$K$1,"Pagado","Pendiente")</f>
        <v>Pendiente</v>
      </c>
    </row>
    <row r="934" spans="1:9" hidden="1">
      <c r="A934" s="2">
        <v>347916</v>
      </c>
      <c r="B934" s="2">
        <v>46</v>
      </c>
      <c r="C934" s="8">
        <v>4635651.2978191189</v>
      </c>
      <c r="D934" s="8">
        <v>3817532.4704403076</v>
      </c>
      <c r="E934" s="8">
        <v>458103.89645283693</v>
      </c>
      <c r="F934" s="8">
        <v>8911287.6647122633</v>
      </c>
      <c r="G934" s="7">
        <v>46870</v>
      </c>
      <c r="H934" s="1" t="s">
        <v>30</v>
      </c>
      <c r="I934" s="1" t="str">
        <f>IF(G934&lt;=$K$1,"Pagado","Pendiente")</f>
        <v>Pendiente</v>
      </c>
    </row>
    <row r="935" spans="1:9" s="10" customFormat="1" hidden="1">
      <c r="A935" s="2">
        <v>31295</v>
      </c>
      <c r="B935" s="2">
        <v>32</v>
      </c>
      <c r="C935" s="8">
        <v>3305709.94</v>
      </c>
      <c r="D935" s="8">
        <v>3954310.28</v>
      </c>
      <c r="E935" s="8">
        <v>474517.23</v>
      </c>
      <c r="F935" s="8">
        <v>7734537.4500000002</v>
      </c>
      <c r="G935" s="7">
        <v>46626</v>
      </c>
      <c r="H935" s="1" t="s">
        <v>35</v>
      </c>
      <c r="I935" s="1" t="str">
        <f>IF(G935&lt;=$K$1,"Pagado","Pendiente")</f>
        <v>Pendiente</v>
      </c>
    </row>
    <row r="936" spans="1:9" s="10" customFormat="1" hidden="1">
      <c r="A936" s="2">
        <v>31295</v>
      </c>
      <c r="B936" s="2">
        <v>33</v>
      </c>
      <c r="C936" s="8">
        <v>3396616.97</v>
      </c>
      <c r="D936" s="8">
        <v>3863403.25</v>
      </c>
      <c r="E936" s="8">
        <v>463608.39</v>
      </c>
      <c r="F936" s="8">
        <v>7723628.6100000003</v>
      </c>
      <c r="G936" s="7">
        <v>46657</v>
      </c>
      <c r="H936" s="1" t="s">
        <v>35</v>
      </c>
      <c r="I936" s="1" t="str">
        <f>IF(G936&lt;=$K$1,"Pagado","Pendiente")</f>
        <v>Pendiente</v>
      </c>
    </row>
    <row r="937" spans="1:9" s="10" customFormat="1" hidden="1">
      <c r="A937" s="2">
        <v>31295</v>
      </c>
      <c r="B937" s="2">
        <v>34</v>
      </c>
      <c r="C937" s="8">
        <v>3490023.93</v>
      </c>
      <c r="D937" s="8">
        <v>3769996.29</v>
      </c>
      <c r="E937" s="8">
        <v>452399.55</v>
      </c>
      <c r="F937" s="8">
        <v>7712419.7699999996</v>
      </c>
      <c r="G937" s="7">
        <v>46687</v>
      </c>
      <c r="H937" s="1" t="s">
        <v>35</v>
      </c>
      <c r="I937" s="1" t="str">
        <f>IF(G937&lt;=$K$1,"Pagado","Pendiente")</f>
        <v>Pendiente</v>
      </c>
    </row>
    <row r="938" spans="1:9" s="10" customFormat="1" hidden="1">
      <c r="A938" s="2">
        <v>31295</v>
      </c>
      <c r="B938" s="2">
        <v>35</v>
      </c>
      <c r="C938" s="8">
        <v>3585999.59</v>
      </c>
      <c r="D938" s="8">
        <v>3674020.63</v>
      </c>
      <c r="E938" s="8">
        <v>440882.48</v>
      </c>
      <c r="F938" s="8">
        <v>7700902.7000000002</v>
      </c>
      <c r="G938" s="7">
        <v>46718</v>
      </c>
      <c r="H938" s="1" t="s">
        <v>35</v>
      </c>
      <c r="I938" s="1" t="str">
        <f>IF(G938&lt;=$K$1,"Pagado","Pendiente")</f>
        <v>Pendiente</v>
      </c>
    </row>
    <row r="939" spans="1:9" s="10" customFormat="1" hidden="1">
      <c r="A939" s="2">
        <v>31295</v>
      </c>
      <c r="B939" s="2">
        <v>36</v>
      </c>
      <c r="C939" s="8">
        <v>3684614.58</v>
      </c>
      <c r="D939" s="8">
        <v>3575405.64</v>
      </c>
      <c r="E939" s="8">
        <v>429048.67</v>
      </c>
      <c r="F939" s="8">
        <v>7689068.8899999997</v>
      </c>
      <c r="G939" s="7">
        <v>46748</v>
      </c>
      <c r="H939" s="1" t="s">
        <v>35</v>
      </c>
      <c r="I939" s="1" t="str">
        <f>IF(G939&lt;=$K$1,"Pagado","Pendiente")</f>
        <v>Pendiente</v>
      </c>
    </row>
    <row r="940" spans="1:9" s="10" customFormat="1" hidden="1">
      <c r="A940" s="2">
        <v>31295</v>
      </c>
      <c r="B940" s="2">
        <v>37</v>
      </c>
      <c r="C940" s="8">
        <v>3785941.48</v>
      </c>
      <c r="D940" s="8">
        <v>3474078.74</v>
      </c>
      <c r="E940" s="8">
        <v>416889.45</v>
      </c>
      <c r="F940" s="8">
        <v>7676909.6699999999</v>
      </c>
      <c r="G940" s="7">
        <v>46779</v>
      </c>
      <c r="H940" s="1" t="s">
        <v>35</v>
      </c>
      <c r="I940" s="1" t="str">
        <f>IF(G940&lt;=$K$1,"Pagado","Pendiente")</f>
        <v>Pendiente</v>
      </c>
    </row>
    <row r="941" spans="1:9" hidden="1">
      <c r="A941" s="2">
        <v>31295</v>
      </c>
      <c r="B941" s="2">
        <v>38</v>
      </c>
      <c r="C941" s="8">
        <v>3890054.87</v>
      </c>
      <c r="D941" s="8">
        <v>3369965.35</v>
      </c>
      <c r="E941" s="8">
        <v>404395.84</v>
      </c>
      <c r="F941" s="8">
        <v>7664416.0599999996</v>
      </c>
      <c r="G941" s="7">
        <v>46810</v>
      </c>
      <c r="H941" s="1" t="s">
        <v>35</v>
      </c>
      <c r="I941" s="1" t="str">
        <f>IF(G941&lt;=$K$1,"Pagado","Pendiente")</f>
        <v>Pendiente</v>
      </c>
    </row>
    <row r="942" spans="1:9" hidden="1">
      <c r="A942" s="2">
        <v>31295</v>
      </c>
      <c r="B942" s="2">
        <v>39</v>
      </c>
      <c r="C942" s="8">
        <v>3997031.38</v>
      </c>
      <c r="D942" s="8">
        <v>3262988.84</v>
      </c>
      <c r="E942" s="8">
        <v>391558.66</v>
      </c>
      <c r="F942" s="8">
        <v>7651578.8799999999</v>
      </c>
      <c r="G942" s="7">
        <v>46839</v>
      </c>
      <c r="H942" s="1" t="s">
        <v>35</v>
      </c>
      <c r="I942" s="1" t="str">
        <f>IF(G942&lt;=$K$1,"Pagado","Pendiente")</f>
        <v>Pendiente</v>
      </c>
    </row>
    <row r="943" spans="1:9" hidden="1">
      <c r="A943" s="2">
        <v>843950300</v>
      </c>
      <c r="B943" s="2">
        <v>43</v>
      </c>
      <c r="C943" s="8">
        <v>4734381.1500000004</v>
      </c>
      <c r="D943" s="8">
        <v>3040988.25</v>
      </c>
      <c r="E943" s="8">
        <f>+F943-D943-C943</f>
        <v>364918.58999999985</v>
      </c>
      <c r="F943" s="8">
        <v>8140287.9900000002</v>
      </c>
      <c r="G943" s="7">
        <v>46870</v>
      </c>
      <c r="H943" s="1" t="s">
        <v>24</v>
      </c>
      <c r="I943" s="1" t="str">
        <f>IF(G943&lt;=$K$1,"Pagado","Pendiente")</f>
        <v>Pendiente</v>
      </c>
    </row>
    <row r="944" spans="1:9" hidden="1">
      <c r="A944" s="2">
        <v>31295</v>
      </c>
      <c r="B944" s="2">
        <v>40</v>
      </c>
      <c r="C944" s="8">
        <v>4106949.74</v>
      </c>
      <c r="D944" s="8">
        <v>3153070.48</v>
      </c>
      <c r="E944" s="8">
        <v>378368.46</v>
      </c>
      <c r="F944" s="8">
        <v>7638388.6799999997</v>
      </c>
      <c r="G944" s="7">
        <v>46870</v>
      </c>
      <c r="H944" s="1" t="s">
        <v>35</v>
      </c>
      <c r="I944" s="1" t="str">
        <f>IF(G944&lt;=$K$1,"Pagado","Pendiente")</f>
        <v>Pendiente</v>
      </c>
    </row>
    <row r="945" spans="1:9" hidden="1">
      <c r="A945" s="2">
        <v>20466</v>
      </c>
      <c r="B945" s="2">
        <v>68</v>
      </c>
      <c r="C945" s="8">
        <v>1175012.7204468816</v>
      </c>
      <c r="D945" s="8">
        <v>187149.06333990424</v>
      </c>
      <c r="E945" s="8">
        <f>+D945*0.12</f>
        <v>22457.887600788508</v>
      </c>
      <c r="F945" s="8">
        <f>+C945+D945+E945</f>
        <v>1384619.6713875744</v>
      </c>
      <c r="G945" s="7">
        <v>46873</v>
      </c>
      <c r="H945" s="1" t="s">
        <v>31</v>
      </c>
      <c r="I945" s="1" t="str">
        <f>IF(G945&lt;=$K$1,"Pagado","Pendiente")</f>
        <v>Pendiente</v>
      </c>
    </row>
    <row r="946" spans="1:9" hidden="1">
      <c r="A946" s="2">
        <v>66235635</v>
      </c>
      <c r="B946" s="2">
        <v>46</v>
      </c>
      <c r="C946" s="8">
        <v>7916666.6699999999</v>
      </c>
      <c r="D946" s="8">
        <v>2358732.87</v>
      </c>
      <c r="E946" s="8">
        <v>283047.94000000041</v>
      </c>
      <c r="F946" s="8">
        <v>10558447.48</v>
      </c>
      <c r="G946" s="7">
        <v>46875</v>
      </c>
      <c r="H946" s="1" t="s">
        <v>26</v>
      </c>
      <c r="I946" s="1" t="str">
        <f>IF(G946&lt;=$K$1,"Pagado","Pendiente")</f>
        <v>Pendiente</v>
      </c>
    </row>
    <row r="947" spans="1:9" hidden="1">
      <c r="A947" s="2">
        <v>22044</v>
      </c>
      <c r="B947" s="2">
        <v>57</v>
      </c>
      <c r="C947" s="8">
        <v>1702490.7386684094</v>
      </c>
      <c r="D947" s="8">
        <v>1029507.1121788386</v>
      </c>
      <c r="E947" s="8">
        <v>123540.85346146063</v>
      </c>
      <c r="F947" s="8">
        <v>2855538.7043087087</v>
      </c>
      <c r="G947" s="7">
        <v>46875</v>
      </c>
      <c r="H947" s="1" t="s">
        <v>31</v>
      </c>
      <c r="I947" s="1" t="str">
        <f>IF(G947&lt;=$K$1,"Pagado","Pendiente")</f>
        <v>Pendiente</v>
      </c>
    </row>
    <row r="948" spans="1:9" hidden="1">
      <c r="A948" s="2">
        <v>119980</v>
      </c>
      <c r="B948" s="2">
        <v>42</v>
      </c>
      <c r="C948" s="8">
        <v>14166666.67</v>
      </c>
      <c r="D948" s="8">
        <v>7079452.0499999998</v>
      </c>
      <c r="E948" s="8">
        <f>+F948-D948-C948</f>
        <v>849534.24999999814</v>
      </c>
      <c r="F948" s="8">
        <v>22095652.969999999</v>
      </c>
      <c r="G948" s="7">
        <v>46877</v>
      </c>
      <c r="H948" s="1" t="s">
        <v>26</v>
      </c>
      <c r="I948" s="1" t="str">
        <f>IF(G948&lt;=$K$1,"Pagado","Pendiente")</f>
        <v>Pendiente</v>
      </c>
    </row>
    <row r="949" spans="1:9" hidden="1">
      <c r="A949" s="2">
        <v>20828</v>
      </c>
      <c r="B949" s="2">
        <v>65</v>
      </c>
      <c r="C949" s="8">
        <v>1408093.3484395789</v>
      </c>
      <c r="D949" s="8">
        <v>375637.17716459389</v>
      </c>
      <c r="E949" s="8">
        <f>+D949*0.105</f>
        <v>39441.903602282357</v>
      </c>
      <c r="F949" s="8">
        <f>+C949+D949+E949</f>
        <v>1823172.4292064551</v>
      </c>
      <c r="G949" s="7">
        <v>46885</v>
      </c>
      <c r="H949" s="1" t="s">
        <v>31</v>
      </c>
      <c r="I949" s="1" t="str">
        <f>IF(G949&lt;=$K$1,"Pagado","Pendiente")</f>
        <v>Pendiente</v>
      </c>
    </row>
    <row r="950" spans="1:9" hidden="1">
      <c r="A950" s="2">
        <v>23996</v>
      </c>
      <c r="B950" s="2">
        <v>34</v>
      </c>
      <c r="C950" s="8">
        <v>2182872.48</v>
      </c>
      <c r="D950" s="8">
        <v>8373929.4500000002</v>
      </c>
      <c r="E950" s="8">
        <v>1005708.92</v>
      </c>
      <c r="F950" s="8">
        <f>+C950+D950+E950</f>
        <v>11562510.85</v>
      </c>
      <c r="G950" s="7">
        <v>46886</v>
      </c>
      <c r="H950" s="1" t="s">
        <v>31</v>
      </c>
      <c r="I950" s="1" t="str">
        <f>IF(G950&lt;=$K$1,"Pagado","Pendiente")</f>
        <v>Pendiente</v>
      </c>
    </row>
    <row r="951" spans="1:9" hidden="1">
      <c r="A951" s="2">
        <v>927328</v>
      </c>
      <c r="B951" s="2">
        <v>43</v>
      </c>
      <c r="C951" s="8">
        <v>9019660.508764144</v>
      </c>
      <c r="D951" s="8">
        <v>5027359.1347017782</v>
      </c>
      <c r="E951" s="8">
        <v>603283.09616421338</v>
      </c>
      <c r="F951" s="8">
        <v>14650302.739630135</v>
      </c>
      <c r="G951" s="7">
        <v>46890</v>
      </c>
      <c r="H951" s="1" t="s">
        <v>32</v>
      </c>
      <c r="I951" s="1" t="str">
        <f>IF(G951&lt;=$K$1,"Pagado","Pendiente")</f>
        <v>Pendiente</v>
      </c>
    </row>
    <row r="952" spans="1:9" hidden="1">
      <c r="A952" s="2">
        <v>75472831</v>
      </c>
      <c r="B952" s="2">
        <v>43</v>
      </c>
      <c r="C952" s="8">
        <v>2083333.33</v>
      </c>
      <c r="D952" s="8">
        <v>986301.37</v>
      </c>
      <c r="E952" s="8">
        <f>+F952-D952-C952</f>
        <v>118356.15999999968</v>
      </c>
      <c r="F952" s="8">
        <v>3187990.86</v>
      </c>
      <c r="G952" s="7">
        <v>46890</v>
      </c>
      <c r="H952" s="1" t="s">
        <v>26</v>
      </c>
      <c r="I952" s="1" t="str">
        <f>IF(G952&lt;=$K$1,"Pagado","Pendiente")</f>
        <v>Pendiente</v>
      </c>
    </row>
    <row r="953" spans="1:9" hidden="1">
      <c r="A953" s="2">
        <v>863502400</v>
      </c>
      <c r="B953" s="2">
        <v>41</v>
      </c>
      <c r="C953" s="8">
        <v>5752710.3300000001</v>
      </c>
      <c r="D953" s="8">
        <v>4268876.9000000004</v>
      </c>
      <c r="E953" s="8">
        <v>512265.22</v>
      </c>
      <c r="F953" s="8">
        <v>10533852.449999999</v>
      </c>
      <c r="G953" s="7">
        <v>46890</v>
      </c>
      <c r="H953" s="1" t="s">
        <v>24</v>
      </c>
      <c r="I953" s="1" t="str">
        <f>IF(G953&lt;=$K$1,"Pagado","Pendiente")</f>
        <v>Pendiente</v>
      </c>
    </row>
    <row r="954" spans="1:9" hidden="1">
      <c r="A954" s="2">
        <v>863502600</v>
      </c>
      <c r="B954" s="2">
        <v>41</v>
      </c>
      <c r="C954" s="8">
        <v>2975539.82</v>
      </c>
      <c r="D954" s="8">
        <v>2208039.7799999998</v>
      </c>
      <c r="E954" s="8">
        <v>264964.78000000003</v>
      </c>
      <c r="F954" s="8">
        <v>5448544.3799999999</v>
      </c>
      <c r="G954" s="7">
        <v>46890</v>
      </c>
      <c r="H954" s="1" t="s">
        <v>24</v>
      </c>
      <c r="I954" s="1" t="str">
        <f>IF(G954&lt;=$K$1,"Pagado","Pendiente")</f>
        <v>Pendiente</v>
      </c>
    </row>
    <row r="955" spans="1:9" hidden="1">
      <c r="A955" s="2">
        <v>24004</v>
      </c>
      <c r="B955" s="2">
        <v>34</v>
      </c>
      <c r="C955" s="8">
        <v>2366160.5699999998</v>
      </c>
      <c r="D955" s="8">
        <v>3408349</v>
      </c>
      <c r="E955" s="8">
        <v>409342.71</v>
      </c>
      <c r="F955" s="8">
        <v>6183852.2800000003</v>
      </c>
      <c r="G955" s="7">
        <v>46890</v>
      </c>
      <c r="H955" s="1" t="s">
        <v>31</v>
      </c>
      <c r="I955" s="1" t="str">
        <f>IF(G955&lt;=$K$1,"Pagado","Pendiente")</f>
        <v>Pendiente</v>
      </c>
    </row>
    <row r="956" spans="1:9" hidden="1">
      <c r="A956" s="2">
        <v>65210751</v>
      </c>
      <c r="B956" s="2">
        <v>47</v>
      </c>
      <c r="C956" s="8">
        <v>8958333.3300000001</v>
      </c>
      <c r="D956" s="8">
        <v>2577054.7999999998</v>
      </c>
      <c r="E956" s="8">
        <v>309246.56999999844</v>
      </c>
      <c r="F956" s="8">
        <v>11844634.699999999</v>
      </c>
      <c r="G956" s="7">
        <v>46891</v>
      </c>
      <c r="H956" s="1" t="s">
        <v>26</v>
      </c>
      <c r="I956" s="1" t="str">
        <f>IF(G956&lt;=$K$1,"Pagado","Pendiente")</f>
        <v>Pendiente</v>
      </c>
    </row>
    <row r="957" spans="1:9" hidden="1">
      <c r="A957" s="2">
        <v>23430</v>
      </c>
      <c r="B957" s="2">
        <v>46</v>
      </c>
      <c r="C957" s="8">
        <v>1299772.26</v>
      </c>
      <c r="D957" s="8">
        <v>3289651.99</v>
      </c>
      <c r="E957" s="8">
        <v>394758.24</v>
      </c>
      <c r="F957" s="8">
        <v>4984182.49</v>
      </c>
      <c r="G957" s="7">
        <v>46892</v>
      </c>
      <c r="H957" s="1" t="s">
        <v>31</v>
      </c>
      <c r="I957" s="1" t="str">
        <f>IF(G957&lt;=$K$1,"Pagado","Pendiente")</f>
        <v>Pendiente</v>
      </c>
    </row>
    <row r="958" spans="1:9" hidden="1">
      <c r="A958" s="2">
        <v>23467</v>
      </c>
      <c r="B958" s="2">
        <v>45</v>
      </c>
      <c r="C958" s="8">
        <v>4874146.03</v>
      </c>
      <c r="D958" s="8">
        <v>12336194.93</v>
      </c>
      <c r="E958" s="8">
        <v>1480343.99</v>
      </c>
      <c r="F958" s="8">
        <v>18690684.949999999</v>
      </c>
      <c r="G958" s="7">
        <v>46892</v>
      </c>
      <c r="H958" s="1" t="s">
        <v>31</v>
      </c>
      <c r="I958" s="1" t="str">
        <f>IF(G958&lt;=$K$1,"Pagado","Pendiente")</f>
        <v>Pendiente</v>
      </c>
    </row>
    <row r="959" spans="1:9" hidden="1">
      <c r="A959" s="2">
        <v>394949</v>
      </c>
      <c r="B959" s="2">
        <v>41</v>
      </c>
      <c r="C959" s="8">
        <v>2006644.28</v>
      </c>
      <c r="D959" s="8">
        <v>2899673.01</v>
      </c>
      <c r="E959" s="8">
        <v>347960.75</v>
      </c>
      <c r="F959" s="8">
        <v>5254278.04</v>
      </c>
      <c r="G959" s="7">
        <v>46899</v>
      </c>
      <c r="H959" s="1" t="s">
        <v>30</v>
      </c>
      <c r="I959" s="1" t="str">
        <f>IF(G959&lt;=$K$1,"Pagado","Pendiente")</f>
        <v>Pendiente</v>
      </c>
    </row>
    <row r="960" spans="1:9" hidden="1">
      <c r="A960" s="2">
        <v>347916</v>
      </c>
      <c r="B960" s="2">
        <v>47</v>
      </c>
      <c r="C960" s="8">
        <v>4739953.4520200491</v>
      </c>
      <c r="D960" s="8">
        <v>3713230.3162393779</v>
      </c>
      <c r="E960" s="8">
        <v>445587.63794872537</v>
      </c>
      <c r="F960" s="8">
        <v>8898771.406208152</v>
      </c>
      <c r="G960" s="7">
        <v>46900</v>
      </c>
      <c r="H960" s="1" t="s">
        <v>30</v>
      </c>
      <c r="I960" s="1" t="str">
        <f>IF(G960&lt;=$K$1,"Pagado","Pendiente")</f>
        <v>Pendiente</v>
      </c>
    </row>
    <row r="961" spans="1:9" hidden="1">
      <c r="A961" s="2">
        <v>843950300</v>
      </c>
      <c r="B961" s="2">
        <v>44</v>
      </c>
      <c r="C961" s="8">
        <v>4866683.43</v>
      </c>
      <c r="D961" s="8">
        <v>2908685.97</v>
      </c>
      <c r="E961" s="8">
        <f>+F961-D961-C961</f>
        <v>349042.3200000003</v>
      </c>
      <c r="F961" s="8">
        <v>8124411.7199999997</v>
      </c>
      <c r="G961" s="7">
        <v>46900</v>
      </c>
      <c r="H961" s="1" t="s">
        <v>24</v>
      </c>
      <c r="I961" s="1" t="str">
        <f>IF(G961&lt;=$K$1,"Pagado","Pendiente")</f>
        <v>Pendiente</v>
      </c>
    </row>
    <row r="962" spans="1:9" hidden="1">
      <c r="A962" s="2">
        <v>31295</v>
      </c>
      <c r="B962" s="2">
        <v>41</v>
      </c>
      <c r="C962" s="8">
        <v>4219890.8600000003</v>
      </c>
      <c r="D962" s="8">
        <v>3040129.36</v>
      </c>
      <c r="E962" s="8">
        <v>364815.52</v>
      </c>
      <c r="F962" s="8">
        <v>7624835.7400000002</v>
      </c>
      <c r="G962" s="7">
        <v>46900</v>
      </c>
      <c r="H962" s="1" t="s">
        <v>35</v>
      </c>
      <c r="I962" s="1" t="str">
        <f>IF(G962&lt;=$K$1,"Pagado","Pendiente")</f>
        <v>Pendiente</v>
      </c>
    </row>
    <row r="963" spans="1:9" hidden="1">
      <c r="A963" s="2">
        <v>20466</v>
      </c>
      <c r="B963" s="2">
        <v>69</v>
      </c>
      <c r="C963" s="8">
        <v>1210263.102060288</v>
      </c>
      <c r="D963" s="8">
        <v>151898.68172649777</v>
      </c>
      <c r="E963" s="8">
        <f>+D963*0.12</f>
        <v>18227.841807179731</v>
      </c>
      <c r="F963" s="8">
        <f>+C963+D963+E963</f>
        <v>1380389.6255939654</v>
      </c>
      <c r="G963" s="7">
        <v>46904</v>
      </c>
      <c r="H963" s="1" t="s">
        <v>31</v>
      </c>
      <c r="I963" s="1" t="str">
        <f>IF(G963&lt;=$K$1,"Pagado","Pendiente")</f>
        <v>Pendiente</v>
      </c>
    </row>
    <row r="964" spans="1:9" hidden="1">
      <c r="A964" s="2">
        <v>66235635</v>
      </c>
      <c r="B964" s="2">
        <v>47</v>
      </c>
      <c r="C964" s="8">
        <v>7916666.6699999999</v>
      </c>
      <c r="D964" s="8">
        <v>2353310.5</v>
      </c>
      <c r="E964" s="8">
        <v>282397.25999999978</v>
      </c>
      <c r="F964" s="8">
        <v>10552374.43</v>
      </c>
      <c r="G964" s="7">
        <v>46906</v>
      </c>
      <c r="H964" s="1" t="s">
        <v>26</v>
      </c>
      <c r="I964" s="1" t="str">
        <f>IF(G964&lt;=$K$1,"Pagado","Pendiente")</f>
        <v>Pendiente</v>
      </c>
    </row>
    <row r="965" spans="1:9" hidden="1">
      <c r="A965" s="2">
        <v>22044</v>
      </c>
      <c r="B965" s="2">
        <v>58</v>
      </c>
      <c r="C965" s="8">
        <v>1753565.4608284617</v>
      </c>
      <c r="D965" s="8">
        <v>978432.3900187863</v>
      </c>
      <c r="E965" s="8">
        <v>117411.88680225436</v>
      </c>
      <c r="F965" s="8">
        <v>2849409.7376495022</v>
      </c>
      <c r="G965" s="7">
        <v>46906</v>
      </c>
      <c r="H965" s="1" t="s">
        <v>31</v>
      </c>
      <c r="I965" s="1" t="str">
        <f>IF(G965&lt;=$K$1,"Pagado","Pendiente")</f>
        <v>Pendiente</v>
      </c>
    </row>
    <row r="966" spans="1:9" hidden="1">
      <c r="A966" s="2">
        <v>119980</v>
      </c>
      <c r="B966" s="2">
        <v>43</v>
      </c>
      <c r="C966" s="8">
        <v>14166666.67</v>
      </c>
      <c r="D966" s="8">
        <v>7153972.5999999996</v>
      </c>
      <c r="E966" s="8">
        <f>+F966-D966-C966</f>
        <v>858476.71000000089</v>
      </c>
      <c r="F966" s="8">
        <v>22179115.98</v>
      </c>
      <c r="G966" s="7">
        <v>46908</v>
      </c>
      <c r="H966" s="1" t="s">
        <v>26</v>
      </c>
      <c r="I966" s="1" t="str">
        <f>IF(G966&lt;=$K$1,"Pagado","Pendiente")</f>
        <v>Pendiente</v>
      </c>
    </row>
    <row r="967" spans="1:9" hidden="1">
      <c r="A967" s="2">
        <v>20828</v>
      </c>
      <c r="B967" s="2">
        <v>66</v>
      </c>
      <c r="C967" s="8">
        <v>1450336.1488927663</v>
      </c>
      <c r="D967" s="8">
        <v>333394.37671140657</v>
      </c>
      <c r="E967" s="8">
        <f>+D967*0.105</f>
        <v>35006.40955469769</v>
      </c>
      <c r="F967" s="8">
        <f>+C967+D967+E967</f>
        <v>1818736.9351588706</v>
      </c>
      <c r="G967" s="7">
        <v>46916</v>
      </c>
      <c r="H967" s="1" t="s">
        <v>31</v>
      </c>
      <c r="I967" s="1" t="str">
        <f>IF(G967&lt;=$K$1,"Pagado","Pendiente")</f>
        <v>Pendiente</v>
      </c>
    </row>
    <row r="968" spans="1:9" hidden="1">
      <c r="A968" s="2">
        <v>23996</v>
      </c>
      <c r="B968" s="2">
        <v>35</v>
      </c>
      <c r="C968" s="8">
        <v>2251386.27</v>
      </c>
      <c r="D968" s="8">
        <v>8305415.6600000001</v>
      </c>
      <c r="E968" s="8">
        <v>997480.41</v>
      </c>
      <c r="F968" s="8">
        <f>+C968+D968+E968</f>
        <v>11554282.34</v>
      </c>
      <c r="G968" s="7">
        <v>46917</v>
      </c>
      <c r="H968" s="1" t="s">
        <v>31</v>
      </c>
      <c r="I968" s="1" t="str">
        <f>IF(G968&lt;=$K$1,"Pagado","Pendiente")</f>
        <v>Pendiente</v>
      </c>
    </row>
    <row r="969" spans="1:9" hidden="1">
      <c r="A969" s="2">
        <v>927328</v>
      </c>
      <c r="B969" s="2">
        <v>44</v>
      </c>
      <c r="C969" s="8">
        <v>9244400.3831075169</v>
      </c>
      <c r="D969" s="8">
        <v>4802619.2603584053</v>
      </c>
      <c r="E969" s="8">
        <v>576314.31124300859</v>
      </c>
      <c r="F969" s="8">
        <v>14623333.95470893</v>
      </c>
      <c r="G969" s="7">
        <v>46921</v>
      </c>
      <c r="H969" s="1" t="s">
        <v>32</v>
      </c>
      <c r="I969" s="1" t="str">
        <f>IF(G969&lt;=$K$1,"Pagado","Pendiente")</f>
        <v>Pendiente</v>
      </c>
    </row>
    <row r="970" spans="1:9" hidden="1">
      <c r="A970" s="2">
        <v>75472831</v>
      </c>
      <c r="B970" s="2">
        <v>44</v>
      </c>
      <c r="C970" s="8">
        <v>2083333.33</v>
      </c>
      <c r="D970" s="8">
        <v>1024657.54</v>
      </c>
      <c r="E970" s="8">
        <f>+F970-D970-C970</f>
        <v>122958.89999999991</v>
      </c>
      <c r="F970" s="8">
        <v>3230949.77</v>
      </c>
      <c r="G970" s="7">
        <v>46921</v>
      </c>
      <c r="H970" s="1" t="s">
        <v>26</v>
      </c>
      <c r="I970" s="1" t="str">
        <f>IF(G970&lt;=$K$1,"Pagado","Pendiente")</f>
        <v>Pendiente</v>
      </c>
    </row>
    <row r="971" spans="1:9" hidden="1">
      <c r="A971" s="2">
        <v>863502400</v>
      </c>
      <c r="B971" s="2">
        <v>42</v>
      </c>
      <c r="C971" s="8">
        <v>5913469.8300000001</v>
      </c>
      <c r="D971" s="8">
        <v>4108117.4</v>
      </c>
      <c r="E971" s="8">
        <v>492974.09</v>
      </c>
      <c r="F971" s="8">
        <v>10514561.32</v>
      </c>
      <c r="G971" s="7">
        <v>46921</v>
      </c>
      <c r="H971" s="1" t="s">
        <v>24</v>
      </c>
      <c r="I971" s="1" t="str">
        <f>IF(G971&lt;=$K$1,"Pagado","Pendiente")</f>
        <v>Pendiente</v>
      </c>
    </row>
    <row r="972" spans="1:9" hidden="1">
      <c r="A972" s="2">
        <v>863502600</v>
      </c>
      <c r="B972" s="2">
        <v>42</v>
      </c>
      <c r="C972" s="8">
        <v>3058691.28</v>
      </c>
      <c r="D972" s="8">
        <v>2124888.3199999998</v>
      </c>
      <c r="E972" s="8">
        <v>254986.59</v>
      </c>
      <c r="F972" s="8">
        <v>5438566.1900000004</v>
      </c>
      <c r="G972" s="7">
        <v>46921</v>
      </c>
      <c r="H972" s="1" t="s">
        <v>24</v>
      </c>
      <c r="I972" s="1" t="str">
        <f>IF(G972&lt;=$K$1,"Pagado","Pendiente")</f>
        <v>Pendiente</v>
      </c>
    </row>
    <row r="973" spans="1:9" hidden="1">
      <c r="A973" s="2">
        <v>24004</v>
      </c>
      <c r="B973" s="2">
        <v>35</v>
      </c>
      <c r="C973" s="8">
        <v>2445653.84</v>
      </c>
      <c r="D973" s="8">
        <v>3328855.73</v>
      </c>
      <c r="E973" s="8">
        <v>399795.58</v>
      </c>
      <c r="F973" s="8">
        <v>6174305.1500000004</v>
      </c>
      <c r="G973" s="7">
        <v>46921</v>
      </c>
      <c r="H973" s="1" t="s">
        <v>31</v>
      </c>
      <c r="I973" s="1" t="str">
        <f>IF(G973&lt;=$K$1,"Pagado","Pendiente")</f>
        <v>Pendiente</v>
      </c>
    </row>
    <row r="974" spans="1:9" hidden="1">
      <c r="A974" s="2">
        <v>65210751</v>
      </c>
      <c r="B974" s="2">
        <v>48</v>
      </c>
      <c r="C974" s="8">
        <v>8958333.3300000001</v>
      </c>
      <c r="D974" s="8">
        <v>2552511.42</v>
      </c>
      <c r="E974" s="8">
        <v>306301.36999999918</v>
      </c>
      <c r="F974" s="8">
        <v>11817146.119999999</v>
      </c>
      <c r="G974" s="7">
        <v>46922</v>
      </c>
      <c r="H974" s="1" t="s">
        <v>26</v>
      </c>
      <c r="I974" s="1" t="str">
        <f>IF(G974&lt;=$K$1,"Pagado","Pendiente")</f>
        <v>Pendiente</v>
      </c>
    </row>
    <row r="975" spans="1:9" hidden="1">
      <c r="A975" s="2">
        <v>23430</v>
      </c>
      <c r="B975" s="2">
        <v>47</v>
      </c>
      <c r="C975" s="8">
        <v>1342504.5</v>
      </c>
      <c r="D975" s="8">
        <v>3246919.75</v>
      </c>
      <c r="E975" s="8">
        <v>389630.37</v>
      </c>
      <c r="F975" s="8">
        <v>4979054.62</v>
      </c>
      <c r="G975" s="7">
        <v>46923</v>
      </c>
      <c r="H975" s="1" t="s">
        <v>31</v>
      </c>
      <c r="I975" s="1" t="str">
        <f>IF(G975&lt;=$K$1,"Pagado","Pendiente")</f>
        <v>Pendiente</v>
      </c>
    </row>
    <row r="976" spans="1:9" hidden="1">
      <c r="A976" s="2">
        <v>23467</v>
      </c>
      <c r="B976" s="2">
        <v>46</v>
      </c>
      <c r="C976" s="8">
        <v>5034391.93</v>
      </c>
      <c r="D976" s="8">
        <v>12175949.029999999</v>
      </c>
      <c r="E976" s="8">
        <v>1461113.89</v>
      </c>
      <c r="F976" s="8">
        <v>18671454.850000001</v>
      </c>
      <c r="G976" s="7">
        <v>46923</v>
      </c>
      <c r="H976" s="1" t="s">
        <v>31</v>
      </c>
      <c r="I976" s="1" t="str">
        <f>IF(G976&lt;=$K$1,"Pagado","Pendiente")</f>
        <v>Pendiente</v>
      </c>
    </row>
    <row r="977" spans="1:9" hidden="1">
      <c r="A977" s="2">
        <v>394949</v>
      </c>
      <c r="B977" s="2">
        <v>42</v>
      </c>
      <c r="C977" s="8">
        <v>2063499.2</v>
      </c>
      <c r="D977" s="8">
        <v>2842818.09</v>
      </c>
      <c r="E977" s="8">
        <v>341138.16</v>
      </c>
      <c r="F977" s="8">
        <v>5247455.45</v>
      </c>
      <c r="G977" s="7">
        <v>46930</v>
      </c>
      <c r="H977" s="1" t="s">
        <v>30</v>
      </c>
      <c r="I977" s="1" t="str">
        <f>IF(G977&lt;=$K$1,"Pagado","Pendiente")</f>
        <v>Pendiente</v>
      </c>
    </row>
    <row r="978" spans="1:9" hidden="1">
      <c r="A978" s="2">
        <v>347916</v>
      </c>
      <c r="B978" s="2">
        <v>48</v>
      </c>
      <c r="C978" s="8">
        <v>4846602.4046905003</v>
      </c>
      <c r="D978" s="8">
        <v>3606581.3635689267</v>
      </c>
      <c r="E978" s="8">
        <v>432789.76362827118</v>
      </c>
      <c r="F978" s="8">
        <v>8885973.5318876989</v>
      </c>
      <c r="G978" s="7">
        <v>46931</v>
      </c>
      <c r="H978" s="1" t="s">
        <v>30</v>
      </c>
      <c r="I978" s="1" t="str">
        <f>IF(G978&lt;=$K$1,"Pagado","Pendiente")</f>
        <v>Pendiente</v>
      </c>
    </row>
    <row r="979" spans="1:9" hidden="1">
      <c r="A979" s="2">
        <v>843950300</v>
      </c>
      <c r="B979" s="2">
        <v>45</v>
      </c>
      <c r="C979" s="8">
        <v>5002682.9000000004</v>
      </c>
      <c r="D979" s="8">
        <v>2772686.5</v>
      </c>
      <c r="E979" s="8">
        <f>+F979-D979-C979</f>
        <v>332722.37999999989</v>
      </c>
      <c r="F979" s="8">
        <v>8108091.7800000003</v>
      </c>
      <c r="G979" s="7">
        <v>46931</v>
      </c>
      <c r="H979" s="1" t="s">
        <v>24</v>
      </c>
      <c r="I979" s="1" t="str">
        <f>IF(G979&lt;=$K$1,"Pagado","Pendiente")</f>
        <v>Pendiente</v>
      </c>
    </row>
    <row r="980" spans="1:9" hidden="1">
      <c r="A980" s="2">
        <v>31295</v>
      </c>
      <c r="B980" s="2">
        <v>42</v>
      </c>
      <c r="C980" s="8">
        <v>4335937.8600000003</v>
      </c>
      <c r="D980" s="8">
        <v>2924082.36</v>
      </c>
      <c r="E980" s="8">
        <v>350889.89</v>
      </c>
      <c r="F980" s="8">
        <v>7610910.1100000003</v>
      </c>
      <c r="G980" s="7">
        <v>46931</v>
      </c>
      <c r="H980" s="1" t="s">
        <v>35</v>
      </c>
      <c r="I980" s="1" t="str">
        <f>IF(G980&lt;=$K$1,"Pagado","Pendiente")</f>
        <v>Pendiente</v>
      </c>
    </row>
    <row r="981" spans="1:9" hidden="1">
      <c r="A981" s="2">
        <v>20466</v>
      </c>
      <c r="B981" s="2">
        <v>70</v>
      </c>
      <c r="C981" s="8">
        <v>1246570.9951220967</v>
      </c>
      <c r="D981" s="8">
        <v>115590.78866468914</v>
      </c>
      <c r="E981" s="8">
        <f>+D981*0.12</f>
        <v>13870.894639762697</v>
      </c>
      <c r="F981" s="8">
        <f>+C981+D981+E981</f>
        <v>1376032.6784265484</v>
      </c>
      <c r="G981" s="7">
        <v>46934</v>
      </c>
      <c r="H981" s="1" t="s">
        <v>31</v>
      </c>
      <c r="I981" s="1" t="str">
        <f>IF(G981&lt;=$K$1,"Pagado","Pendiente")</f>
        <v>Pendiente</v>
      </c>
    </row>
    <row r="982" spans="1:9" hidden="1">
      <c r="A982" s="2">
        <v>66235635</v>
      </c>
      <c r="B982" s="2">
        <v>48</v>
      </c>
      <c r="C982" s="8">
        <v>7916666.6699999999</v>
      </c>
      <c r="D982" s="8">
        <v>2185216.89</v>
      </c>
      <c r="E982" s="8">
        <v>262226.01999999955</v>
      </c>
      <c r="F982" s="8">
        <v>10364109.58</v>
      </c>
      <c r="G982" s="7">
        <v>46936</v>
      </c>
      <c r="H982" s="1" t="s">
        <v>26</v>
      </c>
      <c r="I982" s="1" t="str">
        <f>IF(G982&lt;=$K$1,"Pagado","Pendiente")</f>
        <v>Pendiente</v>
      </c>
    </row>
    <row r="983" spans="1:9" hidden="1">
      <c r="A983" s="2">
        <v>22044</v>
      </c>
      <c r="B983" s="2">
        <v>59</v>
      </c>
      <c r="C983" s="8">
        <v>1806172.4246533155</v>
      </c>
      <c r="D983" s="8">
        <v>925825.42619393254</v>
      </c>
      <c r="E983" s="8">
        <v>111099.05114327191</v>
      </c>
      <c r="F983" s="8">
        <v>2843096.9019905198</v>
      </c>
      <c r="G983" s="7">
        <v>46936</v>
      </c>
      <c r="H983" s="1" t="s">
        <v>31</v>
      </c>
      <c r="I983" s="1" t="str">
        <f>IF(G983&lt;=$K$1,"Pagado","Pendiente")</f>
        <v>Pendiente</v>
      </c>
    </row>
    <row r="984" spans="1:9" hidden="1">
      <c r="A984" s="2">
        <v>119980</v>
      </c>
      <c r="B984" s="2">
        <v>44</v>
      </c>
      <c r="C984" s="8">
        <v>14166666.67</v>
      </c>
      <c r="D984" s="8">
        <v>6123105.0199999996</v>
      </c>
      <c r="E984" s="8">
        <f>+F984-D984-C984</f>
        <v>734772.61000000127</v>
      </c>
      <c r="F984" s="8">
        <v>21024544.300000001</v>
      </c>
      <c r="G984" s="7">
        <v>46938</v>
      </c>
      <c r="H984" s="1" t="s">
        <v>26</v>
      </c>
      <c r="I984" s="1" t="str">
        <f>IF(G984&lt;=$K$1,"Pagado","Pendiente")</f>
        <v>Pendiente</v>
      </c>
    </row>
    <row r="985" spans="1:9" hidden="1">
      <c r="A985" s="2">
        <v>20828</v>
      </c>
      <c r="B985" s="2">
        <v>67</v>
      </c>
      <c r="C985" s="8">
        <v>1493846.2333595492</v>
      </c>
      <c r="D985" s="8">
        <v>289884.29224462359</v>
      </c>
      <c r="E985" s="8">
        <f>+D985*0.105</f>
        <v>30437.850685685476</v>
      </c>
      <c r="F985" s="8">
        <f>+C985+D985+E985</f>
        <v>1814168.3762898582</v>
      </c>
      <c r="G985" s="7">
        <v>46946</v>
      </c>
      <c r="H985" s="1" t="s">
        <v>31</v>
      </c>
      <c r="I985" s="1" t="str">
        <f>IF(G985&lt;=$K$1,"Pagado","Pendiente")</f>
        <v>Pendiente</v>
      </c>
    </row>
    <row r="986" spans="1:9" hidden="1">
      <c r="A986" s="2">
        <v>23996</v>
      </c>
      <c r="B986" s="2">
        <v>36</v>
      </c>
      <c r="C986" s="8">
        <v>2322050.5</v>
      </c>
      <c r="D986" s="8">
        <v>8234751.4299999997</v>
      </c>
      <c r="E986" s="8">
        <v>988993.65</v>
      </c>
      <c r="F986" s="8">
        <f>+C986+D986+E986</f>
        <v>11545795.58</v>
      </c>
      <c r="G986" s="7">
        <v>46947</v>
      </c>
      <c r="H986" s="1" t="s">
        <v>31</v>
      </c>
      <c r="I986" s="1" t="str">
        <f>IF(G986&lt;=$K$1,"Pagado","Pendiente")</f>
        <v>Pendiente</v>
      </c>
    </row>
    <row r="987" spans="1:9" hidden="1">
      <c r="A987" s="2">
        <v>927328</v>
      </c>
      <c r="B987" s="2">
        <v>45</v>
      </c>
      <c r="C987" s="8">
        <v>9474740.0259866118</v>
      </c>
      <c r="D987" s="8">
        <v>4572279.6174793094</v>
      </c>
      <c r="E987" s="8">
        <v>548673.55409751716</v>
      </c>
      <c r="F987" s="8">
        <v>14595693.197563438</v>
      </c>
      <c r="G987" s="7">
        <v>46951</v>
      </c>
      <c r="H987" s="1" t="s">
        <v>32</v>
      </c>
      <c r="I987" s="1" t="str">
        <f>IF(G987&lt;=$K$1,"Pagado","Pendiente")</f>
        <v>Pendiente</v>
      </c>
    </row>
    <row r="988" spans="1:9" hidden="1">
      <c r="A988" s="2">
        <v>75472831</v>
      </c>
      <c r="B988" s="2">
        <v>45</v>
      </c>
      <c r="C988" s="8">
        <v>2083333.33</v>
      </c>
      <c r="D988" s="8">
        <v>818264.84</v>
      </c>
      <c r="E988" s="8">
        <f>+F988-D988-C988</f>
        <v>98191.780000000261</v>
      </c>
      <c r="F988" s="8">
        <v>2999789.95</v>
      </c>
      <c r="G988" s="7">
        <v>46951</v>
      </c>
      <c r="H988" s="1" t="s">
        <v>26</v>
      </c>
      <c r="I988" s="1" t="str">
        <f>IF(G988&lt;=$K$1,"Pagado","Pendiente")</f>
        <v>Pendiente</v>
      </c>
    </row>
    <row r="989" spans="1:9" hidden="1">
      <c r="A989" s="2">
        <v>863502400</v>
      </c>
      <c r="B989" s="2">
        <v>43</v>
      </c>
      <c r="C989" s="8">
        <v>6078721.7400000002</v>
      </c>
      <c r="D989" s="8">
        <v>3942865.49</v>
      </c>
      <c r="E989" s="8">
        <v>473143.86</v>
      </c>
      <c r="F989" s="8">
        <v>10494731.09</v>
      </c>
      <c r="G989" s="7">
        <v>46951</v>
      </c>
      <c r="H989" s="1" t="s">
        <v>24</v>
      </c>
      <c r="I989" s="1" t="str">
        <f>IF(G989&lt;=$K$1,"Pagado","Pendiente")</f>
        <v>Pendiente</v>
      </c>
    </row>
    <row r="990" spans="1:9" hidden="1">
      <c r="A990" s="2">
        <v>863502600</v>
      </c>
      <c r="B990" s="2">
        <v>43</v>
      </c>
      <c r="C990" s="8">
        <v>3144166.41</v>
      </c>
      <c r="D990" s="8">
        <v>2039413.19</v>
      </c>
      <c r="E990" s="8">
        <v>244729.58</v>
      </c>
      <c r="F990" s="8">
        <v>5428309.1799999997</v>
      </c>
      <c r="G990" s="7">
        <v>46951</v>
      </c>
      <c r="H990" s="1" t="s">
        <v>24</v>
      </c>
      <c r="I990" s="1" t="str">
        <f>IF(G990&lt;=$K$1,"Pagado","Pendiente")</f>
        <v>Pendiente</v>
      </c>
    </row>
    <row r="991" spans="1:9" hidden="1">
      <c r="A991" s="2">
        <v>24004</v>
      </c>
      <c r="B991" s="2">
        <v>36</v>
      </c>
      <c r="C991" s="8">
        <v>2527817.7599999998</v>
      </c>
      <c r="D991" s="8">
        <v>3246691.81</v>
      </c>
      <c r="E991" s="8">
        <v>389927.69</v>
      </c>
      <c r="F991" s="8">
        <v>6164437.2599999998</v>
      </c>
      <c r="G991" s="7">
        <v>46951</v>
      </c>
      <c r="H991" s="1" t="s">
        <v>31</v>
      </c>
      <c r="I991" s="1" t="str">
        <f>IF(G991&lt;=$K$1,"Pagado","Pendiente")</f>
        <v>Pendiente</v>
      </c>
    </row>
    <row r="992" spans="1:9" hidden="1">
      <c r="A992" s="2">
        <v>65210751</v>
      </c>
      <c r="B992" s="2">
        <v>49</v>
      </c>
      <c r="C992" s="8">
        <v>8958333.3300000001</v>
      </c>
      <c r="D992" s="8">
        <v>2135273.9700000002</v>
      </c>
      <c r="E992" s="8">
        <v>256232.87999999896</v>
      </c>
      <c r="F992" s="8">
        <v>11349840.18</v>
      </c>
      <c r="G992" s="7">
        <v>46952</v>
      </c>
      <c r="H992" s="1" t="s">
        <v>26</v>
      </c>
      <c r="I992" s="1" t="str">
        <f>IF(G992&lt;=$K$1,"Pagado","Pendiente")</f>
        <v>Pendiente</v>
      </c>
    </row>
    <row r="993" spans="1:9" hidden="1">
      <c r="A993" s="2">
        <v>23430</v>
      </c>
      <c r="B993" s="2">
        <v>48</v>
      </c>
      <c r="C993" s="8">
        <v>1386641.63</v>
      </c>
      <c r="D993" s="8">
        <v>3202782.62</v>
      </c>
      <c r="E993" s="8">
        <v>384333.92</v>
      </c>
      <c r="F993" s="8">
        <v>4973758.17</v>
      </c>
      <c r="G993" s="7">
        <v>46953</v>
      </c>
      <c r="H993" s="1" t="s">
        <v>31</v>
      </c>
      <c r="I993" s="1" t="str">
        <f>IF(G993&lt;=$K$1,"Pagado","Pendiente")</f>
        <v>Pendiente</v>
      </c>
    </row>
    <row r="994" spans="1:9" hidden="1">
      <c r="A994" s="2">
        <v>23467</v>
      </c>
      <c r="B994" s="2">
        <v>47</v>
      </c>
      <c r="C994" s="8">
        <v>5199906.18</v>
      </c>
      <c r="D994" s="8">
        <v>12010434.779999999</v>
      </c>
      <c r="E994" s="8">
        <v>1441252.17</v>
      </c>
      <c r="F994" s="8">
        <v>18651593.129999999</v>
      </c>
      <c r="G994" s="7">
        <v>46953</v>
      </c>
      <c r="H994" s="1" t="s">
        <v>31</v>
      </c>
      <c r="I994" s="1" t="str">
        <f>IF(G994&lt;=$K$1,"Pagado","Pendiente")</f>
        <v>Pendiente</v>
      </c>
    </row>
    <row r="995" spans="1:9" s="10" customFormat="1" hidden="1">
      <c r="A995" s="9">
        <v>22044</v>
      </c>
      <c r="B995" s="9">
        <v>1</v>
      </c>
      <c r="C995" s="13">
        <v>399249.24</v>
      </c>
      <c r="D995" s="13">
        <v>2044098.11</v>
      </c>
      <c r="E995" s="13">
        <v>288811.28160000005</v>
      </c>
      <c r="F995" s="13">
        <v>3020809.1324472479</v>
      </c>
      <c r="G995" s="11">
        <v>45171</v>
      </c>
      <c r="H995" s="10" t="s">
        <v>31</v>
      </c>
      <c r="I995" s="1" t="str">
        <f>IF(G995&lt;=$K$1,"Pagado","Pendiente")</f>
        <v>Pagado</v>
      </c>
    </row>
    <row r="996" spans="1:9" s="10" customFormat="1" hidden="1">
      <c r="A996" s="9">
        <v>22044</v>
      </c>
      <c r="B996" s="9">
        <v>2</v>
      </c>
      <c r="C996" s="13">
        <v>409421.89</v>
      </c>
      <c r="D996" s="13">
        <v>2033925.6</v>
      </c>
      <c r="E996" s="13">
        <v>287640.42778494989</v>
      </c>
      <c r="F996" s="13">
        <v>3019638.278632198</v>
      </c>
      <c r="G996" s="11">
        <v>45201</v>
      </c>
      <c r="H996" s="10" t="s">
        <v>31</v>
      </c>
      <c r="I996" s="1" t="str">
        <f>IF(G996&lt;=$K$1,"Pagado","Pendiente")</f>
        <v>Pagado</v>
      </c>
    </row>
    <row r="997" spans="1:9" s="10" customFormat="1" hidden="1">
      <c r="A997" s="9">
        <v>22044</v>
      </c>
      <c r="B997" s="9">
        <v>3</v>
      </c>
      <c r="C997" s="13">
        <v>419853.73</v>
      </c>
      <c r="D997" s="13">
        <v>2023493.61</v>
      </c>
      <c r="E997" s="13">
        <v>286434.44835544832</v>
      </c>
      <c r="F997" s="13">
        <v>3018432.2992026964</v>
      </c>
      <c r="G997" s="11">
        <v>45232</v>
      </c>
      <c r="H997" s="10" t="s">
        <v>31</v>
      </c>
      <c r="I997" s="1" t="str">
        <f>IF(G997&lt;=$K$1,"Pagado","Pendiente")</f>
        <v>Pagado</v>
      </c>
    </row>
    <row r="998" spans="1:9" s="10" customFormat="1" hidden="1">
      <c r="A998" s="9">
        <v>22044</v>
      </c>
      <c r="B998" s="9">
        <v>4</v>
      </c>
      <c r="C998" s="13">
        <v>430551.34</v>
      </c>
      <c r="D998" s="13">
        <v>2012796.05</v>
      </c>
      <c r="E998" s="13">
        <v>285192.28954306163</v>
      </c>
      <c r="F998" s="13">
        <v>3017190.1403903095</v>
      </c>
      <c r="G998" s="11">
        <v>45262</v>
      </c>
      <c r="H998" s="10" t="s">
        <v>31</v>
      </c>
      <c r="I998" s="1" t="str">
        <f>IF(G998&lt;=$K$1,"Pagado","Pendiente")</f>
        <v>Pagado</v>
      </c>
    </row>
    <row r="999" spans="1:9" s="10" customFormat="1" hidden="1">
      <c r="A999" s="9">
        <v>22044</v>
      </c>
      <c r="B999" s="9">
        <v>5</v>
      </c>
      <c r="C999" s="13">
        <v>441521.58</v>
      </c>
      <c r="D999" s="13">
        <v>2001825.75</v>
      </c>
      <c r="E999" s="13">
        <v>283912.86596630339</v>
      </c>
      <c r="F999" s="13">
        <v>3015910.7168135513</v>
      </c>
      <c r="G999" s="11">
        <v>45293</v>
      </c>
      <c r="H999" s="10" t="s">
        <v>31</v>
      </c>
      <c r="I999" s="1" t="str">
        <f>IF(G999&lt;=$K$1,"Pagado","Pendiente")</f>
        <v>Pagado</v>
      </c>
    </row>
    <row r="1000" spans="1:9" s="10" customFormat="1" hidden="1">
      <c r="A1000" s="9">
        <v>22044</v>
      </c>
      <c r="B1000" s="9">
        <v>6</v>
      </c>
      <c r="C1000" s="13">
        <v>452771.29</v>
      </c>
      <c r="D1000" s="13">
        <v>1990771.29</v>
      </c>
      <c r="E1000" s="13">
        <v>282595.0596822424</v>
      </c>
      <c r="F1000" s="13">
        <v>3014592.9105294906</v>
      </c>
      <c r="G1000" s="11">
        <v>45324</v>
      </c>
      <c r="H1000" s="10" t="s">
        <v>31</v>
      </c>
      <c r="I1000" s="1" t="str">
        <f>IF(G1000&lt;=$K$1,"Pagado","Pendiente")</f>
        <v>Pagado</v>
      </c>
    </row>
    <row r="1001" spans="1:9" s="10" customFormat="1" hidden="1">
      <c r="A1001" s="9">
        <v>22044</v>
      </c>
      <c r="B1001" s="9">
        <v>7</v>
      </c>
      <c r="C1001" s="13">
        <v>464307.66</v>
      </c>
      <c r="D1001" s="13">
        <v>1979039.66</v>
      </c>
      <c r="E1001" s="13">
        <v>281237.71920965955</v>
      </c>
      <c r="F1001" s="13">
        <v>3013235.5700569074</v>
      </c>
      <c r="G1001" s="11">
        <v>45353</v>
      </c>
      <c r="H1001" s="10" t="s">
        <v>31</v>
      </c>
      <c r="I1001" s="1" t="str">
        <f>IF(G1001&lt;=$K$1,"Pagado","Pendiente")</f>
        <v>Pagado</v>
      </c>
    </row>
    <row r="1002" spans="1:9" s="10" customFormat="1" hidden="1">
      <c r="A1002" s="9">
        <v>22044</v>
      </c>
      <c r="B1002" s="9">
        <v>8</v>
      </c>
      <c r="C1002" s="13">
        <v>476137.95</v>
      </c>
      <c r="D1002" s="13">
        <v>1967209.36</v>
      </c>
      <c r="E1002" s="13">
        <v>279839.65852289926</v>
      </c>
      <c r="F1002" s="13">
        <v>3011837.5093701473</v>
      </c>
      <c r="G1002" s="11">
        <v>45384</v>
      </c>
      <c r="H1002" s="10" t="s">
        <v>31</v>
      </c>
      <c r="I1002" s="1" t="str">
        <f>IF(G1002&lt;=$K$1,"Pagado","Pendiente")</f>
        <v>Pagado</v>
      </c>
    </row>
    <row r="1003" spans="1:9" s="10" customFormat="1" hidden="1">
      <c r="A1003" s="9">
        <v>22044</v>
      </c>
      <c r="B1003" s="9">
        <v>9</v>
      </c>
      <c r="C1003" s="13">
        <v>488269.68</v>
      </c>
      <c r="D1003" s="13">
        <v>1955077.62</v>
      </c>
      <c r="E1003" s="13">
        <v>278399.65601553611</v>
      </c>
      <c r="F1003" s="13">
        <v>3010397.5068627843</v>
      </c>
      <c r="G1003" s="11">
        <v>45414</v>
      </c>
      <c r="H1003" s="10" t="s">
        <v>31</v>
      </c>
      <c r="I1003" s="1" t="str">
        <f>IF(G1003&lt;=$K$1,"Pagado","Pendiente")</f>
        <v>Pagado</v>
      </c>
    </row>
    <row r="1004" spans="1:9" s="10" customFormat="1" hidden="1">
      <c r="A1004" s="9">
        <v>22044</v>
      </c>
      <c r="B1004" s="9">
        <v>10</v>
      </c>
      <c r="C1004" s="13">
        <v>500710.51</v>
      </c>
      <c r="D1004" s="13">
        <v>1942636.78</v>
      </c>
      <c r="E1004" s="13">
        <v>276916.45343295217</v>
      </c>
      <c r="F1004" s="13">
        <v>3008914.3042802</v>
      </c>
      <c r="G1004" s="11">
        <v>45445</v>
      </c>
      <c r="H1004" s="10" t="s">
        <v>31</v>
      </c>
      <c r="I1004" s="1" t="str">
        <f>IF(G1004&lt;=$K$1,"Pagado","Pendiente")</f>
        <v>Pagado</v>
      </c>
    </row>
    <row r="1005" spans="1:9" s="10" customFormat="1" hidden="1">
      <c r="A1005" s="9">
        <v>22044</v>
      </c>
      <c r="B1005" s="9">
        <v>11</v>
      </c>
      <c r="C1005" s="13">
        <v>513468.33</v>
      </c>
      <c r="D1005" s="13">
        <v>1929878.95</v>
      </c>
      <c r="E1005" s="13">
        <v>275388.75477289065</v>
      </c>
      <c r="F1005" s="13">
        <v>3007386.6056201388</v>
      </c>
      <c r="G1005" s="11">
        <v>45475</v>
      </c>
      <c r="H1005" s="10" t="s">
        <v>31</v>
      </c>
      <c r="I1005" s="1" t="str">
        <f>IF(G1005&lt;=$K$1,"Pagado","Pendiente")</f>
        <v>Pagado</v>
      </c>
    </row>
    <row r="1006" spans="1:9" s="10" customFormat="1" hidden="1">
      <c r="A1006" s="9">
        <v>22044</v>
      </c>
      <c r="B1006" s="9">
        <v>12</v>
      </c>
      <c r="C1006" s="13">
        <v>526551.22</v>
      </c>
      <c r="D1006" s="13">
        <v>1916796.06</v>
      </c>
      <c r="E1006" s="13">
        <v>273815.22515302728</v>
      </c>
      <c r="F1006" s="13">
        <v>3005813.0760002751</v>
      </c>
      <c r="G1006" s="11">
        <v>45506</v>
      </c>
      <c r="H1006" s="10" t="s">
        <v>31</v>
      </c>
      <c r="I1006" s="1" t="str">
        <f>IF(G1006&lt;=$K$1,"Pagado","Pendiente")</f>
        <v>Pagado</v>
      </c>
    </row>
    <row r="1007" spans="1:9" s="10" customFormat="1" hidden="1">
      <c r="A1007" s="9">
        <v>22044</v>
      </c>
      <c r="B1007" s="9">
        <v>13</v>
      </c>
      <c r="C1007" s="13">
        <v>479353.07</v>
      </c>
      <c r="D1007" s="13">
        <v>2148977.2000000002</v>
      </c>
      <c r="E1007" s="13">
        <v>272194.48964456795</v>
      </c>
      <c r="F1007" s="13">
        <v>3004192.3404918159</v>
      </c>
      <c r="G1007" s="11">
        <v>45537</v>
      </c>
      <c r="H1007" s="10" t="s">
        <v>31</v>
      </c>
      <c r="I1007" s="1" t="str">
        <f>IF(G1007&lt;=$K$1,"Pagado","Pendiente")</f>
        <v>Pagado</v>
      </c>
    </row>
    <row r="1008" spans="1:9" s="10" customFormat="1" hidden="1">
      <c r="A1008" s="9">
        <v>22044</v>
      </c>
      <c r="B1008" s="9">
        <v>14</v>
      </c>
      <c r="C1008" s="13">
        <v>493142.67</v>
      </c>
      <c r="D1008" s="13">
        <v>2135187.59</v>
      </c>
      <c r="E1008" s="13">
        <v>270525.13207085495</v>
      </c>
      <c r="F1008" s="13">
        <v>3002522.9829181028</v>
      </c>
      <c r="G1008" s="11">
        <v>45567</v>
      </c>
      <c r="H1008" s="10" t="s">
        <v>31</v>
      </c>
      <c r="I1008" s="1" t="str">
        <f>IF(G1008&lt;=$K$1,"Pagado","Pendiente")</f>
        <v>Pagado</v>
      </c>
    </row>
    <row r="1009" spans="1:9" s="10" customFormat="1" hidden="1">
      <c r="A1009" s="9">
        <v>22044</v>
      </c>
      <c r="B1009" s="9">
        <v>15</v>
      </c>
      <c r="C1009" s="13">
        <v>507328.95</v>
      </c>
      <c r="D1009" s="13">
        <v>2121001.2999999998</v>
      </c>
      <c r="E1009" s="13">
        <v>268805.69376993045</v>
      </c>
      <c r="F1009" s="13">
        <v>3000803.5446171784</v>
      </c>
      <c r="G1009" s="11">
        <v>45598</v>
      </c>
      <c r="H1009" s="10" t="s">
        <v>31</v>
      </c>
      <c r="I1009" s="1" t="str">
        <f>IF(G1009&lt;=$K$1,"Pagado","Pendiente")</f>
        <v>Pagado</v>
      </c>
    </row>
    <row r="1010" spans="1:9" s="10" customFormat="1" hidden="1">
      <c r="A1010" s="9">
        <v>22044</v>
      </c>
      <c r="B1010" s="9">
        <v>16</v>
      </c>
      <c r="C1010" s="13">
        <v>521923.34</v>
      </c>
      <c r="D1010" s="13">
        <v>2106406.9</v>
      </c>
      <c r="E1010" s="13">
        <v>267034.67231997824</v>
      </c>
      <c r="F1010" s="13">
        <v>2999032.5231672265</v>
      </c>
      <c r="G1010" s="11">
        <v>45628</v>
      </c>
      <c r="H1010" s="10" t="s">
        <v>31</v>
      </c>
      <c r="I1010" s="1" t="str">
        <f>IF(G1010&lt;=$K$1,"Pagado","Pendiente")</f>
        <v>Pagado</v>
      </c>
    </row>
    <row r="1011" spans="1:9" s="10" customFormat="1" hidden="1">
      <c r="A1011" s="9">
        <v>22044</v>
      </c>
      <c r="B1011" s="9">
        <v>17</v>
      </c>
      <c r="C1011" s="13">
        <v>521910.18229285209</v>
      </c>
      <c r="D1011" s="13">
        <v>2210087.6685543959</v>
      </c>
      <c r="E1011" s="13">
        <v>265210.52022652753</v>
      </c>
      <c r="F1011" s="13">
        <v>2997208.3710737755</v>
      </c>
      <c r="G1011" s="11">
        <v>45659</v>
      </c>
      <c r="H1011" s="10" t="s">
        <v>31</v>
      </c>
      <c r="I1011" s="1" t="str">
        <f>IF(G1011&lt;=$K$1,"Pagado","Pendiente")</f>
        <v>Pagado</v>
      </c>
    </row>
    <row r="1012" spans="1:9" s="10" customFormat="1" hidden="1">
      <c r="A1012" s="9">
        <v>22044</v>
      </c>
      <c r="B1012" s="9">
        <v>18</v>
      </c>
      <c r="C1012" s="13">
        <v>552383.71</v>
      </c>
      <c r="D1012" s="13">
        <v>2075946.52</v>
      </c>
      <c r="E1012" s="13">
        <f>+D1012*0.12</f>
        <v>249113.58239999998</v>
      </c>
      <c r="F1012" s="13">
        <f>+C1012+D1012+E1012</f>
        <v>2877443.8124000002</v>
      </c>
      <c r="G1012" s="11">
        <v>45690</v>
      </c>
      <c r="H1012" s="10" t="s">
        <v>31</v>
      </c>
      <c r="I1012" s="1" t="str">
        <f>IF(G1012&lt;=$K$1,"Pagado","Pendiente")</f>
        <v>Pagado</v>
      </c>
    </row>
    <row r="1013" spans="1:9" s="10" customFormat="1" hidden="1">
      <c r="A1013" s="9">
        <v>22044</v>
      </c>
      <c r="B1013" s="9">
        <v>19</v>
      </c>
      <c r="C1013" s="13">
        <v>568274.18999999994</v>
      </c>
      <c r="D1013" s="13">
        <v>2060056.03</v>
      </c>
      <c r="E1013" s="13">
        <f>+D1013*0.12</f>
        <v>247206.7236</v>
      </c>
      <c r="F1013" s="13">
        <f>+C1013+D1013+E1013</f>
        <v>2875536.9435999999</v>
      </c>
      <c r="G1013" s="11">
        <v>45718</v>
      </c>
      <c r="H1013" s="10" t="s">
        <v>31</v>
      </c>
      <c r="I1013" s="1" t="str">
        <f>IF(G1013&lt;=$K$1,"Pagado","Pendiente")</f>
        <v>Pagado</v>
      </c>
    </row>
    <row r="1014" spans="1:9" hidden="1">
      <c r="A1014" s="2">
        <v>22044</v>
      </c>
      <c r="B1014" s="2">
        <v>20</v>
      </c>
      <c r="C1014" s="8">
        <v>570305.34776632115</v>
      </c>
      <c r="D1014" s="8">
        <v>2161692.5030809268</v>
      </c>
      <c r="E1014" s="8">
        <v>259403.10036971123</v>
      </c>
      <c r="F1014" s="8">
        <v>2991400.9512169594</v>
      </c>
      <c r="G1014" s="7">
        <v>45749</v>
      </c>
      <c r="H1014" s="1" t="s">
        <v>31</v>
      </c>
      <c r="I1014" s="1" t="str">
        <f>IF(G1014&lt;=$K$1,"Pagado","Pendiente")</f>
        <v>Pagado</v>
      </c>
    </row>
    <row r="1015" spans="1:9" s="10" customFormat="1" hidden="1">
      <c r="A1015" s="9">
        <v>22044</v>
      </c>
      <c r="B1015" s="9">
        <v>21</v>
      </c>
      <c r="C1015" s="13">
        <v>587414.50819931086</v>
      </c>
      <c r="D1015" s="13">
        <v>2144583.3426479371</v>
      </c>
      <c r="E1015" s="13">
        <v>257350.00111775246</v>
      </c>
      <c r="F1015" s="13">
        <v>2989347.8519650004</v>
      </c>
      <c r="G1015" s="11">
        <v>45779</v>
      </c>
      <c r="H1015" s="10" t="s">
        <v>31</v>
      </c>
      <c r="I1015" s="1" t="str">
        <f>IF(G1015&lt;=$K$1,"Pagado","Pendiente")</f>
        <v>Pagado</v>
      </c>
    </row>
    <row r="1016" spans="1:9" hidden="1">
      <c r="A1016" s="2">
        <v>22044</v>
      </c>
      <c r="B1016" s="2">
        <v>22</v>
      </c>
      <c r="C1016" s="8">
        <v>605036.94344528997</v>
      </c>
      <c r="D1016" s="8">
        <v>2126960.907401958</v>
      </c>
      <c r="E1016" s="8">
        <v>255235.30888823495</v>
      </c>
      <c r="F1016" s="8">
        <v>2987233.1597354831</v>
      </c>
      <c r="G1016" s="7">
        <v>45810</v>
      </c>
      <c r="H1016" s="1" t="s">
        <v>31</v>
      </c>
      <c r="I1016" s="1" t="str">
        <f>IF(G1016&lt;=$K$1,"Pagado","Pendiente")</f>
        <v>Pagado</v>
      </c>
    </row>
    <row r="1017" spans="1:9" hidden="1">
      <c r="A1017" s="2">
        <v>22044</v>
      </c>
      <c r="B1017" s="2">
        <v>23</v>
      </c>
      <c r="C1017" s="8">
        <v>623188.05174864922</v>
      </c>
      <c r="D1017" s="8">
        <v>2108809.7990985988</v>
      </c>
      <c r="E1017" s="8">
        <v>253057.17589183187</v>
      </c>
      <c r="F1017" s="8">
        <v>2985055.02673908</v>
      </c>
      <c r="G1017" s="7">
        <v>45840</v>
      </c>
      <c r="H1017" s="1" t="s">
        <v>31</v>
      </c>
      <c r="I1017" s="1" t="str">
        <f>IF(G1017&lt;=$K$1,"Pagado","Pendiente")</f>
        <v>Pagado</v>
      </c>
    </row>
    <row r="1018" spans="1:9" hidden="1">
      <c r="A1018" s="2">
        <v>22044</v>
      </c>
      <c r="B1018" s="2">
        <v>24</v>
      </c>
      <c r="C1018" s="8">
        <v>641883.69330110843</v>
      </c>
      <c r="D1018" s="8">
        <v>2090114.1575461396</v>
      </c>
      <c r="E1018" s="8">
        <v>250813.69890553676</v>
      </c>
      <c r="F1018" s="8">
        <v>2982811.5497527849</v>
      </c>
      <c r="G1018" s="7">
        <v>45871</v>
      </c>
      <c r="H1018" s="1" t="s">
        <v>31</v>
      </c>
      <c r="I1018" s="1" t="str">
        <f>IF(G1018&lt;=$K$1,"Pagado","Pendiente")</f>
        <v>Pagado</v>
      </c>
    </row>
    <row r="1019" spans="1:9" hidden="1">
      <c r="A1019" s="2">
        <v>394949</v>
      </c>
      <c r="B1019" s="2">
        <v>43</v>
      </c>
      <c r="C1019" s="8">
        <v>2121965.0099999998</v>
      </c>
      <c r="D1019" s="8">
        <v>2784352.28</v>
      </c>
      <c r="E1019" s="8">
        <v>334122.26</v>
      </c>
      <c r="F1019" s="8">
        <v>5240439.55</v>
      </c>
      <c r="G1019" s="7">
        <v>46960</v>
      </c>
      <c r="H1019" s="1" t="s">
        <v>30</v>
      </c>
      <c r="I1019" s="1" t="str">
        <f>IF(G1019&lt;=$K$1,"Pagado","Pendiente")</f>
        <v>Pendiente</v>
      </c>
    </row>
    <row r="1020" spans="1:9" hidden="1">
      <c r="A1020" s="2">
        <v>347916</v>
      </c>
      <c r="B1020" s="2">
        <v>49</v>
      </c>
      <c r="C1020" s="8">
        <v>4955650.9587960364</v>
      </c>
      <c r="D1020" s="8">
        <v>3497532.8094633901</v>
      </c>
      <c r="E1020" s="8">
        <v>419703.93713560683</v>
      </c>
      <c r="F1020" s="8">
        <v>8872887.7053950336</v>
      </c>
      <c r="G1020" s="7">
        <v>46961</v>
      </c>
      <c r="H1020" s="1" t="s">
        <v>30</v>
      </c>
      <c r="I1020" s="1" t="str">
        <f>IF(G1020&lt;=$K$1,"Pagado","Pendiente")</f>
        <v>Pendiente</v>
      </c>
    </row>
    <row r="1021" spans="1:9" hidden="1">
      <c r="A1021" s="2">
        <v>843950300</v>
      </c>
      <c r="B1021" s="2">
        <v>46</v>
      </c>
      <c r="C1021" s="8">
        <v>5142482.87</v>
      </c>
      <c r="D1021" s="8">
        <v>2632886.5299999998</v>
      </c>
      <c r="E1021" s="8">
        <f>+F1021-D1021-C1021</f>
        <v>315946.38999999966</v>
      </c>
      <c r="F1021" s="8">
        <v>8091315.79</v>
      </c>
      <c r="G1021" s="7">
        <v>46961</v>
      </c>
      <c r="H1021" s="1" t="s">
        <v>24</v>
      </c>
      <c r="I1021" s="1" t="str">
        <f>IF(G1021&lt;=$K$1,"Pagado","Pendiente")</f>
        <v>Pendiente</v>
      </c>
    </row>
    <row r="1022" spans="1:9" hidden="1">
      <c r="A1022" s="2">
        <v>31295</v>
      </c>
      <c r="B1022" s="2">
        <v>43</v>
      </c>
      <c r="C1022" s="8">
        <v>4455176.1500000004</v>
      </c>
      <c r="D1022" s="8">
        <v>2804844.07</v>
      </c>
      <c r="E1022" s="8">
        <v>336581.29</v>
      </c>
      <c r="F1022" s="8">
        <v>7596601.5099999998</v>
      </c>
      <c r="G1022" s="7">
        <v>46961</v>
      </c>
      <c r="H1022" s="1" t="s">
        <v>35</v>
      </c>
      <c r="I1022" s="1" t="str">
        <f>IF(G1022&lt;=$K$1,"Pagado","Pendiente")</f>
        <v>Pendiente</v>
      </c>
    </row>
    <row r="1023" spans="1:9" hidden="1">
      <c r="A1023" s="2">
        <v>20466</v>
      </c>
      <c r="B1023" s="2">
        <v>71</v>
      </c>
      <c r="C1023" s="8">
        <v>1283968.1249757595</v>
      </c>
      <c r="D1023" s="8">
        <v>78193.658811026238</v>
      </c>
      <c r="E1023" s="8">
        <f>+D1023*0.12</f>
        <v>9383.2390573231478</v>
      </c>
      <c r="F1023" s="8">
        <f>+C1023+D1023+E1023</f>
        <v>1371545.022844109</v>
      </c>
      <c r="G1023" s="7">
        <v>46965</v>
      </c>
      <c r="H1023" s="1" t="s">
        <v>31</v>
      </c>
      <c r="I1023" s="1" t="str">
        <f>IF(G1023&lt;=$K$1,"Pagado","Pendiente")</f>
        <v>Pendiente</v>
      </c>
    </row>
    <row r="1024" spans="1:9" hidden="1">
      <c r="A1024" s="2">
        <v>66235635</v>
      </c>
      <c r="B1024" s="2">
        <v>49</v>
      </c>
      <c r="C1024" s="8">
        <v>7916666.6699999999</v>
      </c>
      <c r="D1024" s="8">
        <v>1952054.79</v>
      </c>
      <c r="E1024" s="8">
        <v>234246.56999999937</v>
      </c>
      <c r="F1024" s="8">
        <v>10102968.029999999</v>
      </c>
      <c r="G1024" s="7">
        <v>46967</v>
      </c>
      <c r="H1024" s="1" t="s">
        <v>26</v>
      </c>
      <c r="I1024" s="1" t="str">
        <f>IF(G1024&lt;=$K$1,"Pagado","Pendiente")</f>
        <v>Pendiente</v>
      </c>
    </row>
    <row r="1025" spans="1:9" hidden="1">
      <c r="A1025" s="2">
        <v>22044</v>
      </c>
      <c r="B1025" s="2">
        <v>60</v>
      </c>
      <c r="C1025" s="8">
        <v>1860357.5973929148</v>
      </c>
      <c r="D1025" s="8">
        <v>871640.25345433305</v>
      </c>
      <c r="E1025" s="8">
        <v>104596.83041451997</v>
      </c>
      <c r="F1025" s="8">
        <v>2836594.6812617676</v>
      </c>
      <c r="G1025" s="7">
        <v>46967</v>
      </c>
      <c r="H1025" s="1" t="s">
        <v>31</v>
      </c>
      <c r="I1025" s="1" t="str">
        <f>IF(G1025&lt;=$K$1,"Pagado","Pendiente")</f>
        <v>Pendiente</v>
      </c>
    </row>
    <row r="1026" spans="1:9" hidden="1">
      <c r="A1026" s="2">
        <v>119980</v>
      </c>
      <c r="B1026" s="2">
        <v>45</v>
      </c>
      <c r="C1026" s="8">
        <v>14166666.67</v>
      </c>
      <c r="D1026" s="8">
        <v>6160365.29</v>
      </c>
      <c r="E1026" s="8">
        <f>+F1026-D1026-C1026</f>
        <v>739243.84000000171</v>
      </c>
      <c r="F1026" s="8">
        <v>21066275.800000001</v>
      </c>
      <c r="G1026" s="7">
        <v>46969</v>
      </c>
      <c r="H1026" s="1" t="s">
        <v>26</v>
      </c>
      <c r="I1026" s="1" t="str">
        <f>IF(G1026&lt;=$K$1,"Pagado","Pendiente")</f>
        <v>Pendiente</v>
      </c>
    </row>
    <row r="1027" spans="1:9" hidden="1">
      <c r="A1027" s="2">
        <v>20828</v>
      </c>
      <c r="B1027" s="2">
        <v>68</v>
      </c>
      <c r="C1027" s="8">
        <v>1538661.6203603358</v>
      </c>
      <c r="D1027" s="8">
        <v>245068.9052438371</v>
      </c>
      <c r="E1027" s="8">
        <f>+D1027*0.105</f>
        <v>25732.235050602896</v>
      </c>
      <c r="F1027" s="8">
        <f>+C1027+D1027+E1027</f>
        <v>1809462.7606547757</v>
      </c>
      <c r="G1027" s="7">
        <v>46977</v>
      </c>
      <c r="H1027" s="1" t="s">
        <v>31</v>
      </c>
      <c r="I1027" s="1" t="str">
        <f>IF(G1027&lt;=$K$1,"Pagado","Pendiente")</f>
        <v>Pendiente</v>
      </c>
    </row>
    <row r="1028" spans="1:9" hidden="1">
      <c r="A1028" s="2">
        <v>23996</v>
      </c>
      <c r="B1028" s="2">
        <v>37</v>
      </c>
      <c r="C1028" s="8">
        <v>2394932.67</v>
      </c>
      <c r="D1028" s="8">
        <v>8161869.2599999998</v>
      </c>
      <c r="E1028" s="8">
        <v>980240.5</v>
      </c>
      <c r="F1028" s="8">
        <f>+C1028+D1028+E1028</f>
        <v>11537042.43</v>
      </c>
      <c r="G1028" s="7">
        <v>46978</v>
      </c>
      <c r="H1028" s="1" t="s">
        <v>31</v>
      </c>
      <c r="I1028" s="1" t="str">
        <f>IF(G1028&lt;=$K$1,"Pagado","Pendiente")</f>
        <v>Pendiente</v>
      </c>
    </row>
    <row r="1029" spans="1:9" hidden="1">
      <c r="A1029" s="2">
        <v>927328</v>
      </c>
      <c r="B1029" s="2">
        <v>46</v>
      </c>
      <c r="C1029" s="8">
        <v>9710818.9649674445</v>
      </c>
      <c r="D1029" s="8">
        <v>4336200.6784984767</v>
      </c>
      <c r="E1029" s="8">
        <v>520344.08141981723</v>
      </c>
      <c r="F1029" s="8">
        <v>14567363.724885739</v>
      </c>
      <c r="G1029" s="7">
        <v>46982</v>
      </c>
      <c r="H1029" s="1" t="s">
        <v>32</v>
      </c>
      <c r="I1029" s="1" t="str">
        <f>IF(G1029&lt;=$K$1,"Pagado","Pendiente")</f>
        <v>Pendiente</v>
      </c>
    </row>
    <row r="1030" spans="1:9" hidden="1">
      <c r="A1030" s="2">
        <v>75472831</v>
      </c>
      <c r="B1030" s="2">
        <v>46</v>
      </c>
      <c r="C1030" s="8">
        <v>2083333.33</v>
      </c>
      <c r="D1030" s="8">
        <v>849315.07</v>
      </c>
      <c r="E1030" s="8">
        <f>+F1030-D1030-C1030</f>
        <v>101917.81000000006</v>
      </c>
      <c r="F1030" s="8">
        <v>3034566.21</v>
      </c>
      <c r="G1030" s="7">
        <v>46982</v>
      </c>
      <c r="H1030" s="1" t="s">
        <v>26</v>
      </c>
      <c r="I1030" s="1" t="str">
        <f>IF(G1030&lt;=$K$1,"Pagado","Pendiente")</f>
        <v>Pendiente</v>
      </c>
    </row>
    <row r="1031" spans="1:9" hidden="1">
      <c r="A1031" s="2">
        <v>863502400</v>
      </c>
      <c r="B1031" s="2">
        <v>44</v>
      </c>
      <c r="C1031" s="8">
        <v>6248591.6200000001</v>
      </c>
      <c r="D1031" s="8">
        <v>3772995.61</v>
      </c>
      <c r="E1031" s="8">
        <v>452759.47</v>
      </c>
      <c r="F1031" s="8">
        <v>10474346.699999999</v>
      </c>
      <c r="G1031" s="7">
        <v>46982</v>
      </c>
      <c r="H1031" s="1" t="s">
        <v>24</v>
      </c>
      <c r="I1031" s="1" t="str">
        <f>IF(G1031&lt;=$K$1,"Pagado","Pendiente")</f>
        <v>Pendiente</v>
      </c>
    </row>
    <row r="1032" spans="1:9" hidden="1">
      <c r="A1032" s="2">
        <v>863502600</v>
      </c>
      <c r="B1032" s="2">
        <v>44</v>
      </c>
      <c r="C1032" s="8">
        <v>3232030.14</v>
      </c>
      <c r="D1032" s="8">
        <v>1951549.46</v>
      </c>
      <c r="E1032" s="8">
        <v>234185.93</v>
      </c>
      <c r="F1032" s="8">
        <v>5417765.5300000003</v>
      </c>
      <c r="G1032" s="7">
        <v>46982</v>
      </c>
      <c r="H1032" s="1" t="s">
        <v>24</v>
      </c>
      <c r="I1032" s="1" t="str">
        <f>IF(G1032&lt;=$K$1,"Pagado","Pendiente")</f>
        <v>Pendiente</v>
      </c>
    </row>
    <row r="1033" spans="1:9" hidden="1">
      <c r="A1033" s="2">
        <v>24004</v>
      </c>
      <c r="B1033" s="2">
        <v>37</v>
      </c>
      <c r="C1033" s="8">
        <v>2612742.04</v>
      </c>
      <c r="D1033" s="8">
        <v>3161767.53</v>
      </c>
      <c r="E1033" s="8">
        <v>379728.28</v>
      </c>
      <c r="F1033" s="8">
        <v>6154237.8499999996</v>
      </c>
      <c r="G1033" s="7">
        <v>46982</v>
      </c>
      <c r="H1033" s="1" t="s">
        <v>31</v>
      </c>
      <c r="I1033" s="1" t="str">
        <f>IF(G1033&lt;=$K$1,"Pagado","Pendiente")</f>
        <v>Pendiente</v>
      </c>
    </row>
    <row r="1034" spans="1:9" hidden="1">
      <c r="A1034" s="2">
        <v>65210751</v>
      </c>
      <c r="B1034" s="2">
        <v>50</v>
      </c>
      <c r="C1034" s="8">
        <v>8958333.3300000001</v>
      </c>
      <c r="D1034" s="8">
        <v>2092323.06</v>
      </c>
      <c r="E1034" s="8">
        <v>251078.76999999955</v>
      </c>
      <c r="F1034" s="8">
        <v>11301735.16</v>
      </c>
      <c r="G1034" s="7">
        <v>46983</v>
      </c>
      <c r="H1034" s="1" t="s">
        <v>26</v>
      </c>
      <c r="I1034" s="1" t="str">
        <f>IF(G1034&lt;=$K$1,"Pagado","Pendiente")</f>
        <v>Pendiente</v>
      </c>
    </row>
    <row r="1035" spans="1:9" hidden="1">
      <c r="A1035" s="2">
        <v>23430</v>
      </c>
      <c r="B1035" s="2">
        <v>49</v>
      </c>
      <c r="C1035" s="8">
        <v>1432229.85</v>
      </c>
      <c r="D1035" s="8">
        <v>3157194.4</v>
      </c>
      <c r="E1035" s="8">
        <v>378863.33</v>
      </c>
      <c r="F1035" s="8">
        <v>4968287.58</v>
      </c>
      <c r="G1035" s="7">
        <v>46984</v>
      </c>
      <c r="H1035" s="1" t="s">
        <v>31</v>
      </c>
      <c r="I1035" s="1" t="str">
        <f>IF(G1035&lt;=$K$1,"Pagado","Pendiente")</f>
        <v>Pendiente</v>
      </c>
    </row>
    <row r="1036" spans="1:9" hidden="1">
      <c r="A1036" s="2">
        <v>23467</v>
      </c>
      <c r="B1036" s="2">
        <v>48</v>
      </c>
      <c r="C1036" s="8">
        <v>5370862</v>
      </c>
      <c r="D1036" s="8">
        <v>11839478.960000001</v>
      </c>
      <c r="E1036" s="8">
        <v>1420737.47</v>
      </c>
      <c r="F1036" s="8">
        <v>18631078.43</v>
      </c>
      <c r="G1036" s="7">
        <v>46984</v>
      </c>
      <c r="H1036" s="1" t="s">
        <v>31</v>
      </c>
      <c r="I1036" s="1" t="str">
        <f>IF(G1036&lt;=$K$1,"Pagado","Pendiente")</f>
        <v>Pendiente</v>
      </c>
    </row>
    <row r="1037" spans="1:9" hidden="1">
      <c r="A1037" s="2">
        <v>394949</v>
      </c>
      <c r="B1037" s="2">
        <v>44</v>
      </c>
      <c r="C1037" s="8">
        <v>2182087.35</v>
      </c>
      <c r="D1037" s="8">
        <v>2724229.94</v>
      </c>
      <c r="E1037" s="8">
        <v>326907.58</v>
      </c>
      <c r="F1037" s="8">
        <v>5233224.87</v>
      </c>
      <c r="G1037" s="7">
        <v>46991</v>
      </c>
      <c r="H1037" s="1" t="s">
        <v>30</v>
      </c>
      <c r="I1037" s="1" t="str">
        <f>IF(G1037&lt;=$K$1,"Pagado","Pendiente")</f>
        <v>Pendiente</v>
      </c>
    </row>
    <row r="1038" spans="1:9" hidden="1">
      <c r="A1038" s="2">
        <v>347916</v>
      </c>
      <c r="B1038" s="2">
        <v>50</v>
      </c>
      <c r="C1038" s="8">
        <v>5067153.1053689467</v>
      </c>
      <c r="D1038" s="8">
        <v>3386030.6628904799</v>
      </c>
      <c r="E1038" s="8">
        <v>406323.6795468576</v>
      </c>
      <c r="F1038" s="8">
        <v>8859507.4478062838</v>
      </c>
      <c r="G1038" s="7">
        <v>46992</v>
      </c>
      <c r="H1038" s="1" t="s">
        <v>30</v>
      </c>
      <c r="I1038" s="1" t="str">
        <f>IF(G1038&lt;=$K$1,"Pagado","Pendiente")</f>
        <v>Pendiente</v>
      </c>
    </row>
    <row r="1039" spans="1:9" hidden="1">
      <c r="A1039" s="2">
        <v>843950300</v>
      </c>
      <c r="B1039" s="2">
        <v>47</v>
      </c>
      <c r="C1039" s="8">
        <v>5286189.5599999996</v>
      </c>
      <c r="D1039" s="8">
        <v>2489179.84</v>
      </c>
      <c r="E1039" s="8">
        <f>+F1039-D1039-C1039</f>
        <v>298701.58000000101</v>
      </c>
      <c r="F1039" s="8">
        <v>8074070.9800000004</v>
      </c>
      <c r="G1039" s="7">
        <v>46992</v>
      </c>
      <c r="H1039" s="1" t="s">
        <v>24</v>
      </c>
      <c r="I1039" s="1" t="str">
        <f>IF(G1039&lt;=$K$1,"Pagado","Pendiente")</f>
        <v>Pendiente</v>
      </c>
    </row>
    <row r="1040" spans="1:9" hidden="1">
      <c r="A1040" s="2">
        <v>31295</v>
      </c>
      <c r="B1040" s="2">
        <v>44</v>
      </c>
      <c r="C1040" s="8">
        <v>4577693.49</v>
      </c>
      <c r="D1040" s="8">
        <v>2682326.73</v>
      </c>
      <c r="E1040" s="8">
        <v>321879.21000000002</v>
      </c>
      <c r="F1040" s="8">
        <v>7581899.4299999997</v>
      </c>
      <c r="G1040" s="7">
        <v>46992</v>
      </c>
      <c r="H1040" s="1" t="s">
        <v>35</v>
      </c>
      <c r="I1040" s="1" t="str">
        <f>IF(G1040&lt;=$K$1,"Pagado","Pendiente")</f>
        <v>Pendiente</v>
      </c>
    </row>
    <row r="1041" spans="1:9" hidden="1">
      <c r="A1041" s="2">
        <v>20466</v>
      </c>
      <c r="B1041" s="2">
        <v>72</v>
      </c>
      <c r="C1041" s="8">
        <v>1322487.1687250324</v>
      </c>
      <c r="D1041" s="8">
        <v>39674.615061753459</v>
      </c>
      <c r="E1041" s="8">
        <f>+D1041*0.12</f>
        <v>4760.9538074104148</v>
      </c>
      <c r="F1041" s="8">
        <f>+C1041+D1041+E1041</f>
        <v>1366922.7375941961</v>
      </c>
      <c r="G1041" s="7">
        <v>46996</v>
      </c>
      <c r="H1041" s="1" t="s">
        <v>31</v>
      </c>
      <c r="I1041" s="1" t="str">
        <f>IF(G1041&lt;=$K$1,"Pagado","Pendiente")</f>
        <v>Pendiente</v>
      </c>
    </row>
    <row r="1042" spans="1:9" hidden="1">
      <c r="A1042" s="2">
        <v>66235635</v>
      </c>
      <c r="B1042" s="2">
        <v>50</v>
      </c>
      <c r="C1042" s="8">
        <v>7916666.6699999999</v>
      </c>
      <c r="D1042" s="8">
        <v>1968321.92</v>
      </c>
      <c r="E1042" s="8">
        <v>236198.63000000082</v>
      </c>
      <c r="F1042" s="8">
        <v>10121187.220000001</v>
      </c>
      <c r="G1042" s="7">
        <v>46998</v>
      </c>
      <c r="H1042" s="1" t="s">
        <v>26</v>
      </c>
      <c r="I1042" s="1" t="str">
        <f>IF(G1042&lt;=$K$1,"Pagado","Pendiente")</f>
        <v>Pendiente</v>
      </c>
    </row>
    <row r="1043" spans="1:9" hidden="1">
      <c r="A1043" s="2">
        <v>22044</v>
      </c>
      <c r="B1043" s="2">
        <v>61</v>
      </c>
      <c r="C1043" s="8">
        <v>1916168.3253147025</v>
      </c>
      <c r="D1043" s="8">
        <v>815829.52553254564</v>
      </c>
      <c r="E1043" s="8">
        <v>97899.543063905483</v>
      </c>
      <c r="F1043" s="8">
        <v>2829897.3939111535</v>
      </c>
      <c r="G1043" s="7">
        <v>46998</v>
      </c>
      <c r="H1043" s="1" t="s">
        <v>31</v>
      </c>
      <c r="I1043" s="1" t="str">
        <f>IF(G1043&lt;=$K$1,"Pagado","Pendiente")</f>
        <v>Pendiente</v>
      </c>
    </row>
    <row r="1044" spans="1:9" hidden="1">
      <c r="A1044" s="2">
        <v>119980</v>
      </c>
      <c r="B1044" s="2">
        <v>46</v>
      </c>
      <c r="C1044" s="8">
        <v>14166666.67</v>
      </c>
      <c r="D1044" s="8">
        <v>5775342.46</v>
      </c>
      <c r="E1044" s="8">
        <f>+F1044-D1044-C1044</f>
        <v>693041.09999999963</v>
      </c>
      <c r="F1044" s="8">
        <v>20635050.23</v>
      </c>
      <c r="G1044" s="7">
        <v>47000</v>
      </c>
      <c r="H1044" s="1" t="s">
        <v>26</v>
      </c>
      <c r="I1044" s="1" t="str">
        <f>IF(G1044&lt;=$K$1,"Pagado","Pendiente")</f>
        <v>Pendiente</v>
      </c>
    </row>
    <row r="1045" spans="1:9" hidden="1">
      <c r="A1045" s="2">
        <v>20828</v>
      </c>
      <c r="B1045" s="2">
        <v>69</v>
      </c>
      <c r="C1045" s="8">
        <v>1584821.4689711458</v>
      </c>
      <c r="D1045" s="8">
        <v>198909.05663302704</v>
      </c>
      <c r="E1045" s="8">
        <f>+D1045*0.105</f>
        <v>20885.450946467838</v>
      </c>
      <c r="F1045" s="8">
        <f>+C1045+D1045+E1045</f>
        <v>1804615.9765506408</v>
      </c>
      <c r="G1045" s="7">
        <v>47008</v>
      </c>
      <c r="H1045" s="1" t="s">
        <v>31</v>
      </c>
      <c r="I1045" s="1" t="str">
        <f>IF(G1045&lt;=$K$1,"Pagado","Pendiente")</f>
        <v>Pendiente</v>
      </c>
    </row>
    <row r="1046" spans="1:9" hidden="1">
      <c r="A1046" s="2">
        <v>23996</v>
      </c>
      <c r="B1046" s="2">
        <v>38</v>
      </c>
      <c r="C1046" s="8">
        <v>2470102.39</v>
      </c>
      <c r="D1046" s="8">
        <v>8086699.54</v>
      </c>
      <c r="E1046" s="8">
        <v>971212.61</v>
      </c>
      <c r="F1046" s="8">
        <f>+C1046+D1046+E1046</f>
        <v>11528014.539999999</v>
      </c>
      <c r="G1046" s="7">
        <v>47009</v>
      </c>
      <c r="H1046" s="1" t="s">
        <v>31</v>
      </c>
      <c r="I1046" s="1" t="str">
        <f>IF(G1046&lt;=$K$1,"Pagado","Pendiente")</f>
        <v>Pendiente</v>
      </c>
    </row>
    <row r="1047" spans="1:9" hidden="1">
      <c r="A1047" s="2">
        <v>927328</v>
      </c>
      <c r="B1047" s="2">
        <v>47</v>
      </c>
      <c r="C1047" s="8">
        <v>9952780.2041778825</v>
      </c>
      <c r="D1047" s="8">
        <v>4094239.4392880383</v>
      </c>
      <c r="E1047" s="8">
        <v>491308.7327145646</v>
      </c>
      <c r="F1047" s="8">
        <v>14538328.376180485</v>
      </c>
      <c r="G1047" s="7">
        <v>47013</v>
      </c>
      <c r="H1047" s="1" t="s">
        <v>32</v>
      </c>
      <c r="I1047" s="1" t="str">
        <f>IF(G1047&lt;=$K$1,"Pagado","Pendiente")</f>
        <v>Pendiente</v>
      </c>
    </row>
    <row r="1048" spans="1:9" hidden="1">
      <c r="A1048" s="2">
        <v>75472831</v>
      </c>
      <c r="B1048" s="2">
        <v>47</v>
      </c>
      <c r="C1048" s="8">
        <v>2083333.33</v>
      </c>
      <c r="D1048" s="8">
        <v>818264.84</v>
      </c>
      <c r="E1048" s="8">
        <f>+F1048-D1048-C1048</f>
        <v>98191.780000000261</v>
      </c>
      <c r="F1048" s="8">
        <v>2999789.95</v>
      </c>
      <c r="G1048" s="7">
        <v>47013</v>
      </c>
      <c r="H1048" s="1" t="s">
        <v>26</v>
      </c>
      <c r="I1048" s="1" t="str">
        <f>IF(G1048&lt;=$K$1,"Pagado","Pendiente")</f>
        <v>Pendiente</v>
      </c>
    </row>
    <row r="1049" spans="1:9" hidden="1">
      <c r="A1049" s="2">
        <v>863502400</v>
      </c>
      <c r="B1049" s="2">
        <v>45</v>
      </c>
      <c r="C1049" s="8">
        <v>6423208.5099999998</v>
      </c>
      <c r="D1049" s="8">
        <v>3598378.72</v>
      </c>
      <c r="E1049" s="8">
        <v>431805.45</v>
      </c>
      <c r="F1049" s="8">
        <v>10453392.68</v>
      </c>
      <c r="G1049" s="7">
        <v>47013</v>
      </c>
      <c r="H1049" s="1" t="s">
        <v>24</v>
      </c>
      <c r="I1049" s="1" t="str">
        <f>IF(G1049&lt;=$K$1,"Pagado","Pendiente")</f>
        <v>Pendiente</v>
      </c>
    </row>
    <row r="1050" spans="1:9" hidden="1">
      <c r="A1050" s="2">
        <v>863502600</v>
      </c>
      <c r="B1050" s="2">
        <v>45</v>
      </c>
      <c r="C1050" s="8">
        <v>3322349.22</v>
      </c>
      <c r="D1050" s="8">
        <v>1861230.38</v>
      </c>
      <c r="E1050" s="8">
        <v>223347.65</v>
      </c>
      <c r="F1050" s="8">
        <v>5406927.25</v>
      </c>
      <c r="G1050" s="7">
        <v>47013</v>
      </c>
      <c r="H1050" s="1" t="s">
        <v>24</v>
      </c>
      <c r="I1050" s="1" t="str">
        <f>IF(G1050&lt;=$K$1,"Pagado","Pendiente")</f>
        <v>Pendiente</v>
      </c>
    </row>
    <row r="1051" spans="1:9" hidden="1">
      <c r="A1051" s="2">
        <v>24004</v>
      </c>
      <c r="B1051" s="2">
        <v>38</v>
      </c>
      <c r="C1051" s="8">
        <v>2700519.44</v>
      </c>
      <c r="D1051" s="8">
        <v>3073990.13</v>
      </c>
      <c r="E1051" s="8">
        <v>369186.21</v>
      </c>
      <c r="F1051" s="8">
        <v>6143695.7800000003</v>
      </c>
      <c r="G1051" s="7">
        <v>47013</v>
      </c>
      <c r="H1051" s="1" t="s">
        <v>31</v>
      </c>
      <c r="I1051" s="1" t="str">
        <f>IF(G1051&lt;=$K$1,"Pagado","Pendiente")</f>
        <v>Pendiente</v>
      </c>
    </row>
    <row r="1052" spans="1:9" hidden="1">
      <c r="A1052" s="2">
        <v>65210751</v>
      </c>
      <c r="B1052" s="2">
        <v>51</v>
      </c>
      <c r="C1052" s="8">
        <v>8958333.3300000001</v>
      </c>
      <c r="D1052" s="8">
        <v>1902111.87</v>
      </c>
      <c r="E1052" s="8">
        <v>228253.43000000156</v>
      </c>
      <c r="F1052" s="8">
        <v>11088698.630000001</v>
      </c>
      <c r="G1052" s="7">
        <v>47014</v>
      </c>
      <c r="H1052" s="1" t="s">
        <v>26</v>
      </c>
      <c r="I1052" s="1" t="str">
        <f>IF(G1052&lt;=$K$1,"Pagado","Pendiente")</f>
        <v>Pendiente</v>
      </c>
    </row>
    <row r="1053" spans="1:9" hidden="1">
      <c r="A1053" s="2">
        <v>23430</v>
      </c>
      <c r="B1053" s="2">
        <v>50</v>
      </c>
      <c r="C1053" s="8">
        <v>1479316.86</v>
      </c>
      <c r="D1053" s="8">
        <v>3110107.39</v>
      </c>
      <c r="E1053" s="8">
        <v>373212.89</v>
      </c>
      <c r="F1053" s="8">
        <v>4962637.1399999997</v>
      </c>
      <c r="G1053" s="7">
        <v>47015</v>
      </c>
      <c r="H1053" s="1" t="s">
        <v>31</v>
      </c>
      <c r="I1053" s="1" t="str">
        <f>IF(G1053&lt;=$K$1,"Pagado","Pendiente")</f>
        <v>Pendiente</v>
      </c>
    </row>
    <row r="1054" spans="1:9" hidden="1">
      <c r="A1054" s="2">
        <v>23467</v>
      </c>
      <c r="B1054" s="2">
        <v>49</v>
      </c>
      <c r="C1054" s="8">
        <v>5547438.2800000003</v>
      </c>
      <c r="D1054" s="8">
        <v>11662902.68</v>
      </c>
      <c r="E1054" s="8">
        <v>1399548.32</v>
      </c>
      <c r="F1054" s="8">
        <v>18609889.280000001</v>
      </c>
      <c r="G1054" s="7">
        <v>47015</v>
      </c>
      <c r="H1054" s="1" t="s">
        <v>31</v>
      </c>
      <c r="I1054" s="1" t="str">
        <f>IF(G1054&lt;=$K$1,"Pagado","Pendiente")</f>
        <v>Pendiente</v>
      </c>
    </row>
    <row r="1055" spans="1:9" hidden="1">
      <c r="A1055" s="2">
        <v>394949</v>
      </c>
      <c r="B1055" s="2">
        <v>45</v>
      </c>
      <c r="C1055" s="8">
        <v>2243913.16</v>
      </c>
      <c r="D1055" s="8">
        <v>2662404.13</v>
      </c>
      <c r="E1055" s="8">
        <v>319488.49</v>
      </c>
      <c r="F1055" s="8">
        <v>5225805.78</v>
      </c>
      <c r="G1055" s="7">
        <v>47022</v>
      </c>
      <c r="H1055" s="1" t="s">
        <v>30</v>
      </c>
      <c r="I1055" s="1" t="str">
        <f>IF(G1055&lt;=$K$1,"Pagado","Pendiente")</f>
        <v>Pendiente</v>
      </c>
    </row>
    <row r="1056" spans="1:9" hidden="1">
      <c r="A1056" s="2">
        <v>347916</v>
      </c>
      <c r="B1056" s="2">
        <v>51</v>
      </c>
      <c r="C1056" s="8">
        <v>5181164.0502397474</v>
      </c>
      <c r="D1056" s="8">
        <v>3272019.7180196787</v>
      </c>
      <c r="E1056" s="8">
        <v>392642.36616236146</v>
      </c>
      <c r="F1056" s="8">
        <v>8845826.1344217882</v>
      </c>
      <c r="G1056" s="7">
        <v>47023</v>
      </c>
      <c r="H1056" s="1" t="s">
        <v>30</v>
      </c>
      <c r="I1056" s="1" t="str">
        <f>IF(G1056&lt;=$K$1,"Pagado","Pendiente")</f>
        <v>Pendiente</v>
      </c>
    </row>
    <row r="1057" spans="1:9" hidden="1">
      <c r="A1057" s="2">
        <v>843950300</v>
      </c>
      <c r="B1057" s="2">
        <v>48</v>
      </c>
      <c r="C1057" s="8">
        <v>5433912.1200000001</v>
      </c>
      <c r="D1057" s="8">
        <v>2341457.2799999998</v>
      </c>
      <c r="E1057" s="8">
        <f>+F1057-D1057-C1057</f>
        <v>280974.87000000011</v>
      </c>
      <c r="F1057" s="8">
        <v>8056344.2699999996</v>
      </c>
      <c r="G1057" s="7">
        <v>47023</v>
      </c>
      <c r="H1057" s="1" t="s">
        <v>24</v>
      </c>
      <c r="I1057" s="1" t="str">
        <f>IF(G1057&lt;=$K$1,"Pagado","Pendiente")</f>
        <v>Pendiente</v>
      </c>
    </row>
    <row r="1058" spans="1:9" hidden="1">
      <c r="A1058" s="2">
        <v>31295</v>
      </c>
      <c r="B1058" s="2">
        <v>45</v>
      </c>
      <c r="C1058" s="8">
        <v>4703580.07</v>
      </c>
      <c r="D1058" s="8">
        <v>2556440.15</v>
      </c>
      <c r="E1058" s="8">
        <v>306772.82</v>
      </c>
      <c r="F1058" s="8">
        <v>7566793.04</v>
      </c>
      <c r="G1058" s="7">
        <v>47023</v>
      </c>
      <c r="H1058" s="1" t="s">
        <v>35</v>
      </c>
      <c r="I1058" s="1" t="str">
        <f>IF(G1058&lt;=$K$1,"Pagado","Pendiente")</f>
        <v>Pendiente</v>
      </c>
    </row>
    <row r="1059" spans="1:9" hidden="1">
      <c r="A1059" s="2">
        <v>66235635</v>
      </c>
      <c r="B1059" s="2">
        <v>51</v>
      </c>
      <c r="C1059" s="8">
        <v>7916666.6699999999</v>
      </c>
      <c r="D1059" s="8">
        <v>1518264.84</v>
      </c>
      <c r="E1059" s="8">
        <v>182191.77999999933</v>
      </c>
      <c r="F1059" s="8">
        <v>9617123.2899999991</v>
      </c>
      <c r="G1059" s="7">
        <v>47028</v>
      </c>
      <c r="H1059" s="1" t="s">
        <v>26</v>
      </c>
      <c r="I1059" s="1" t="str">
        <f>IF(G1059&lt;=$K$1,"Pagado","Pendiente")</f>
        <v>Pendiente</v>
      </c>
    </row>
    <row r="1060" spans="1:9" hidden="1">
      <c r="A1060" s="2">
        <v>22044</v>
      </c>
      <c r="B1060" s="2">
        <v>62</v>
      </c>
      <c r="C1060" s="8">
        <v>1973653.3750741433</v>
      </c>
      <c r="D1060" s="8">
        <v>758344.4757731047</v>
      </c>
      <c r="E1060" s="8">
        <v>91001.337092772563</v>
      </c>
      <c r="F1060" s="8">
        <v>2822999.1879400206</v>
      </c>
      <c r="G1060" s="7">
        <v>47028</v>
      </c>
      <c r="H1060" s="1" t="s">
        <v>31</v>
      </c>
      <c r="I1060" s="1" t="str">
        <f>IF(G1060&lt;=$K$1,"Pagado","Pendiente")</f>
        <v>Pendiente</v>
      </c>
    </row>
    <row r="1061" spans="1:9" hidden="1">
      <c r="A1061" s="2">
        <v>119980</v>
      </c>
      <c r="B1061" s="2">
        <v>47</v>
      </c>
      <c r="C1061" s="8">
        <v>14166666.67</v>
      </c>
      <c r="D1061" s="8">
        <v>5216438.3499999996</v>
      </c>
      <c r="E1061" s="8">
        <f>+F1061-D1061-C1061</f>
        <v>625972.6099999994</v>
      </c>
      <c r="F1061" s="8">
        <v>20009077.629999999</v>
      </c>
      <c r="G1061" s="7">
        <v>47030</v>
      </c>
      <c r="H1061" s="1" t="s">
        <v>26</v>
      </c>
      <c r="I1061" s="1" t="str">
        <f>IF(G1061&lt;=$K$1,"Pagado","Pendiente")</f>
        <v>Pendiente</v>
      </c>
    </row>
    <row r="1062" spans="1:9" hidden="1">
      <c r="A1062" s="2">
        <v>20828</v>
      </c>
      <c r="B1062" s="2">
        <v>70</v>
      </c>
      <c r="C1062" s="8">
        <v>1632366.1130402801</v>
      </c>
      <c r="D1062" s="8">
        <v>151364.41256389266</v>
      </c>
      <c r="E1062" s="8">
        <f>+D1062*0.105</f>
        <v>15893.263319208729</v>
      </c>
      <c r="F1062" s="8">
        <f>+C1062+D1062+E1062</f>
        <v>1799623.7889233814</v>
      </c>
      <c r="G1062" s="7">
        <v>47038</v>
      </c>
      <c r="H1062" s="1" t="s">
        <v>31</v>
      </c>
      <c r="I1062" s="1" t="str">
        <f>IF(G1062&lt;=$K$1,"Pagado","Pendiente")</f>
        <v>Pendiente</v>
      </c>
    </row>
    <row r="1063" spans="1:9" hidden="1">
      <c r="A1063" s="2">
        <v>23996</v>
      </c>
      <c r="B1063" s="2">
        <v>39</v>
      </c>
      <c r="C1063" s="8">
        <v>2547631.46</v>
      </c>
      <c r="D1063" s="8">
        <v>8009170.4699999997</v>
      </c>
      <c r="E1063" s="8">
        <v>961901.38</v>
      </c>
      <c r="F1063" s="8">
        <f>+C1063+D1063+E1063</f>
        <v>11518703.310000001</v>
      </c>
      <c r="G1063" s="7">
        <v>47039</v>
      </c>
      <c r="H1063" s="1" t="s">
        <v>31</v>
      </c>
      <c r="I1063" s="1" t="str">
        <f>IF(G1063&lt;=$K$1,"Pagado","Pendiente")</f>
        <v>Pendiente</v>
      </c>
    </row>
    <row r="1064" spans="1:9" hidden="1">
      <c r="A1064" s="2">
        <v>927328</v>
      </c>
      <c r="B1064" s="2">
        <v>48</v>
      </c>
      <c r="C1064" s="8">
        <v>10200770.310931982</v>
      </c>
      <c r="D1064" s="8">
        <v>3846249.3325339393</v>
      </c>
      <c r="E1064" s="8">
        <v>461549.91990407271</v>
      </c>
      <c r="F1064" s="8">
        <v>14508569.563369995</v>
      </c>
      <c r="G1064" s="7">
        <v>47043</v>
      </c>
      <c r="H1064" s="1" t="s">
        <v>32</v>
      </c>
      <c r="I1064" s="1" t="str">
        <f>IF(G1064&lt;=$K$1,"Pagado","Pendiente")</f>
        <v>Pendiente</v>
      </c>
    </row>
    <row r="1065" spans="1:9" hidden="1">
      <c r="A1065" s="2">
        <v>75472831</v>
      </c>
      <c r="B1065" s="2">
        <v>48</v>
      </c>
      <c r="C1065" s="8">
        <v>2083333.33</v>
      </c>
      <c r="D1065" s="8">
        <v>688584.48</v>
      </c>
      <c r="E1065" s="8">
        <f>+F1065-D1065-C1065</f>
        <v>82630.14000000013</v>
      </c>
      <c r="F1065" s="8">
        <v>2854547.95</v>
      </c>
      <c r="G1065" s="7">
        <v>47043</v>
      </c>
      <c r="H1065" s="1" t="s">
        <v>26</v>
      </c>
      <c r="I1065" s="1" t="str">
        <f>IF(G1065&lt;=$K$1,"Pagado","Pendiente")</f>
        <v>Pendiente</v>
      </c>
    </row>
    <row r="1066" spans="1:9" hidden="1">
      <c r="A1066" s="2">
        <v>863502400</v>
      </c>
      <c r="B1066" s="2">
        <v>46</v>
      </c>
      <c r="C1066" s="8">
        <v>6602705.0700000003</v>
      </c>
      <c r="D1066" s="8">
        <v>3418882.16</v>
      </c>
      <c r="E1066" s="8">
        <v>410265.86</v>
      </c>
      <c r="F1066" s="8">
        <v>10431853.09</v>
      </c>
      <c r="G1066" s="7">
        <v>47043</v>
      </c>
      <c r="H1066" s="1" t="s">
        <v>24</v>
      </c>
      <c r="I1066" s="1" t="str">
        <f>IF(G1066&lt;=$K$1,"Pagado","Pendiente")</f>
        <v>Pendiente</v>
      </c>
    </row>
    <row r="1067" spans="1:9" s="10" customFormat="1" hidden="1">
      <c r="A1067" s="9">
        <v>20828</v>
      </c>
      <c r="B1067" s="9">
        <v>1</v>
      </c>
      <c r="C1067" s="13"/>
      <c r="D1067" s="13">
        <v>1690501.44</v>
      </c>
      <c r="E1067" s="13">
        <v>188565.85080000001</v>
      </c>
      <c r="F1067" s="13">
        <v>1972296.3764041727</v>
      </c>
      <c r="G1067" s="11">
        <v>44938</v>
      </c>
      <c r="H1067" s="10" t="s">
        <v>31</v>
      </c>
      <c r="I1067" s="1" t="str">
        <f>IF(G1067&lt;=$K$1,"Pagado","Pendiente")</f>
        <v>Pagado</v>
      </c>
    </row>
    <row r="1068" spans="1:9" s="10" customFormat="1" hidden="1">
      <c r="A1068" s="9">
        <v>20828</v>
      </c>
      <c r="B1068" s="9">
        <v>2</v>
      </c>
      <c r="C1068" s="13"/>
      <c r="D1068" s="13">
        <v>1334608.48</v>
      </c>
      <c r="E1068" s="13">
        <v>187801.39643182498</v>
      </c>
      <c r="F1068" s="13">
        <v>1971531.9220359977</v>
      </c>
      <c r="G1068" s="11">
        <v>44969</v>
      </c>
      <c r="H1068" s="10" t="s">
        <v>31</v>
      </c>
      <c r="I1068" s="1" t="str">
        <f>IF(G1068&lt;=$K$1,"Pagado","Pendiente")</f>
        <v>Pagado</v>
      </c>
    </row>
    <row r="1069" spans="1:9" s="10" customFormat="1" hidden="1">
      <c r="A1069" s="9">
        <v>20828</v>
      </c>
      <c r="B1069" s="9">
        <v>3</v>
      </c>
      <c r="C1069" s="13"/>
      <c r="D1069" s="13">
        <v>1334608.48</v>
      </c>
      <c r="E1069" s="13">
        <v>187014.00843260472</v>
      </c>
      <c r="F1069" s="13">
        <v>1970744.5340367774</v>
      </c>
      <c r="G1069" s="11">
        <v>44997</v>
      </c>
      <c r="H1069" s="10" t="s">
        <v>31</v>
      </c>
      <c r="I1069" s="1" t="str">
        <f>IF(G1069&lt;=$K$1,"Pagado","Pendiente")</f>
        <v>Pagado</v>
      </c>
    </row>
    <row r="1070" spans="1:9" s="10" customFormat="1" hidden="1">
      <c r="A1070" s="9">
        <v>20828</v>
      </c>
      <c r="B1070" s="9">
        <v>4</v>
      </c>
      <c r="C1070" s="13"/>
      <c r="D1070" s="13">
        <f>+F1070-E1070</f>
        <v>1783730.5256041728</v>
      </c>
      <c r="E1070" s="13">
        <v>186202.99879340784</v>
      </c>
      <c r="F1070" s="13">
        <v>1969933.5243975807</v>
      </c>
      <c r="G1070" s="11">
        <v>45028</v>
      </c>
      <c r="H1070" s="10" t="s">
        <v>31</v>
      </c>
      <c r="I1070" s="1" t="str">
        <f>IF(G1070&lt;=$K$1,"Pagado","Pendiente")</f>
        <v>Pagado</v>
      </c>
    </row>
    <row r="1071" spans="1:9" s="10" customFormat="1" hidden="1">
      <c r="A1071" s="9">
        <v>20828</v>
      </c>
      <c r="B1071" s="9">
        <v>5</v>
      </c>
      <c r="C1071" s="13"/>
      <c r="D1071" s="13">
        <v>1334608.48</v>
      </c>
      <c r="E1071" s="13">
        <v>185367.65886503505</v>
      </c>
      <c r="F1071" s="13">
        <v>1969098.1844692079</v>
      </c>
      <c r="G1071" s="11">
        <v>45058</v>
      </c>
      <c r="H1071" s="10" t="s">
        <v>31</v>
      </c>
      <c r="I1071" s="1" t="str">
        <f>IF(G1071&lt;=$K$1,"Pagado","Pendiente")</f>
        <v>Pagado</v>
      </c>
    </row>
    <row r="1072" spans="1:9" s="10" customFormat="1" hidden="1">
      <c r="A1072" s="9">
        <v>20828</v>
      </c>
      <c r="B1072" s="9">
        <v>6</v>
      </c>
      <c r="C1072" s="13"/>
      <c r="D1072" s="13">
        <v>1334608.48</v>
      </c>
      <c r="E1072" s="13">
        <v>184507.25873881107</v>
      </c>
      <c r="F1072" s="13">
        <v>1968237.784342984</v>
      </c>
      <c r="G1072" s="11">
        <v>45089</v>
      </c>
      <c r="H1072" s="10" t="s">
        <v>31</v>
      </c>
      <c r="I1072" s="1" t="str">
        <f>IF(G1072&lt;=$K$1,"Pagado","Pendiente")</f>
        <v>Pagado</v>
      </c>
    </row>
    <row r="1073" spans="1:9" s="10" customFormat="1" hidden="1">
      <c r="A1073" s="9">
        <v>20828</v>
      </c>
      <c r="B1073" s="9">
        <v>7</v>
      </c>
      <c r="C1073" s="13"/>
      <c r="D1073" s="13">
        <v>1334608.48</v>
      </c>
      <c r="E1073" s="13">
        <v>183621.04660880036</v>
      </c>
      <c r="F1073" s="13">
        <v>1967351.5722129731</v>
      </c>
      <c r="G1073" s="11">
        <v>45119</v>
      </c>
      <c r="H1073" s="10" t="s">
        <v>31</v>
      </c>
      <c r="I1073" s="1" t="str">
        <f>IF(G1073&lt;=$K$1,"Pagado","Pendiente")</f>
        <v>Pagado</v>
      </c>
    </row>
    <row r="1074" spans="1:9" s="10" customFormat="1" hidden="1">
      <c r="A1074" s="9">
        <v>20828</v>
      </c>
      <c r="B1074" s="9">
        <v>8</v>
      </c>
      <c r="C1074" s="13"/>
      <c r="D1074" s="13">
        <v>1334608.48</v>
      </c>
      <c r="E1074" s="13">
        <v>182708.24811488937</v>
      </c>
      <c r="F1074" s="13">
        <v>1966438.7737190621</v>
      </c>
      <c r="G1074" s="11">
        <v>45150</v>
      </c>
      <c r="H1074" s="10" t="s">
        <v>31</v>
      </c>
      <c r="I1074" s="1" t="str">
        <f>IF(G1074&lt;=$K$1,"Pagado","Pendiente")</f>
        <v>Pagado</v>
      </c>
    </row>
    <row r="1075" spans="1:9" s="10" customFormat="1" hidden="1">
      <c r="A1075" s="9">
        <v>20828</v>
      </c>
      <c r="B1075" s="9">
        <v>9</v>
      </c>
      <c r="C1075" s="13">
        <v>260671.17</v>
      </c>
      <c r="D1075" s="13">
        <v>1334598.48</v>
      </c>
      <c r="E1075" s="13">
        <f>+D1075*0.105</f>
        <v>140132.84039999999</v>
      </c>
      <c r="F1075" s="13">
        <f>+C1075+D1075+E1075</f>
        <v>1735402.4904</v>
      </c>
      <c r="G1075" s="11">
        <v>45181</v>
      </c>
      <c r="H1075" s="10" t="s">
        <v>31</v>
      </c>
      <c r="I1075" s="1" t="str">
        <f>IF(G1075&lt;=$K$1,"Pagado","Pendiente")</f>
        <v>Pagado</v>
      </c>
    </row>
    <row r="1076" spans="1:9" s="10" customFormat="1" hidden="1">
      <c r="A1076" s="9">
        <v>20828</v>
      </c>
      <c r="B1076" s="9">
        <v>10</v>
      </c>
      <c r="C1076" s="13">
        <v>267312.92</v>
      </c>
      <c r="D1076" s="13">
        <v>1327956.73</v>
      </c>
      <c r="E1076" s="13">
        <f>+D1076*0.105</f>
        <v>139435.45665000001</v>
      </c>
      <c r="F1076" s="13">
        <f>+C1076+D1076+E1076</f>
        <v>1734705.10665</v>
      </c>
      <c r="G1076" s="11">
        <v>45211</v>
      </c>
      <c r="H1076" s="10" t="s">
        <v>31</v>
      </c>
      <c r="I1076" s="1" t="str">
        <f>IF(G1076&lt;=$K$1,"Pagado","Pendiente")</f>
        <v>Pagado</v>
      </c>
    </row>
    <row r="1077" spans="1:9" s="10" customFormat="1" hidden="1">
      <c r="A1077" s="9">
        <v>20828</v>
      </c>
      <c r="B1077" s="9">
        <v>11</v>
      </c>
      <c r="C1077" s="13">
        <v>274123.90000000002</v>
      </c>
      <c r="D1077" s="13">
        <v>1321145.74</v>
      </c>
      <c r="E1077" s="13">
        <f>+D1077*0.105</f>
        <v>138720.3027</v>
      </c>
      <c r="F1077" s="13">
        <f>+C1077+D1077+E1077</f>
        <v>1733989.9427</v>
      </c>
      <c r="G1077" s="11">
        <v>45242</v>
      </c>
      <c r="H1077" s="10" t="s">
        <v>31</v>
      </c>
      <c r="I1077" s="1" t="str">
        <f>IF(G1077&lt;=$K$1,"Pagado","Pendiente")</f>
        <v>Pagado</v>
      </c>
    </row>
    <row r="1078" spans="1:9" s="10" customFormat="1" hidden="1">
      <c r="A1078" s="9">
        <v>20828</v>
      </c>
      <c r="B1078" s="9">
        <v>12</v>
      </c>
      <c r="C1078" s="13">
        <v>281108.42</v>
      </c>
      <c r="D1078" s="13">
        <v>1314161.26</v>
      </c>
      <c r="E1078" s="13">
        <f>+D1078*0.105</f>
        <v>137986.93229999999</v>
      </c>
      <c r="F1078" s="13">
        <f>+C1078+D1078+E1078</f>
        <v>1733256.6122999999</v>
      </c>
      <c r="G1078" s="11">
        <v>45272</v>
      </c>
      <c r="H1078" s="10" t="s">
        <v>31</v>
      </c>
      <c r="I1078" s="1" t="str">
        <f>IF(G1078&lt;=$K$1,"Pagado","Pendiente")</f>
        <v>Pagado</v>
      </c>
    </row>
    <row r="1079" spans="1:9" s="10" customFormat="1" hidden="1">
      <c r="A1079" s="9">
        <v>20828</v>
      </c>
      <c r="B1079" s="9">
        <v>13</v>
      </c>
      <c r="C1079" s="13">
        <v>288270.90999999997</v>
      </c>
      <c r="D1079" s="13">
        <v>1306998.72</v>
      </c>
      <c r="E1079" s="13">
        <f>+D1079*0.105</f>
        <v>137234.86559999999</v>
      </c>
      <c r="F1079" s="13">
        <f>+C1079+D1079+E1079</f>
        <v>1732504.4955999998</v>
      </c>
      <c r="G1079" s="11">
        <v>45303</v>
      </c>
      <c r="H1079" s="10" t="s">
        <v>31</v>
      </c>
      <c r="I1079" s="1" t="str">
        <f>IF(G1079&lt;=$K$1,"Pagado","Pendiente")</f>
        <v>Pagado</v>
      </c>
    </row>
    <row r="1080" spans="1:9" s="10" customFormat="1" hidden="1">
      <c r="A1080" s="9">
        <v>20828</v>
      </c>
      <c r="B1080" s="9">
        <v>14</v>
      </c>
      <c r="C1080" s="13">
        <v>295615.89</v>
      </c>
      <c r="D1080" s="13">
        <v>1299653.74</v>
      </c>
      <c r="E1080" s="13">
        <f>+D1080*0.105</f>
        <v>136463.6427</v>
      </c>
      <c r="F1080" s="13">
        <f>+C1080+D1080+E1080</f>
        <v>1731733.2726999999</v>
      </c>
      <c r="G1080" s="11">
        <v>45334</v>
      </c>
      <c r="H1080" s="10" t="s">
        <v>31</v>
      </c>
      <c r="I1080" s="1" t="str">
        <f>IF(G1080&lt;=$K$1,"Pagado","Pendiente")</f>
        <v>Pagado</v>
      </c>
    </row>
    <row r="1081" spans="1:9" s="10" customFormat="1" hidden="1">
      <c r="A1081" s="9">
        <v>20828</v>
      </c>
      <c r="B1081" s="9">
        <v>15</v>
      </c>
      <c r="C1081" s="13">
        <v>303148.01</v>
      </c>
      <c r="D1081" s="13">
        <v>1292121.6100000001</v>
      </c>
      <c r="E1081" s="13">
        <f>+D1081*0.105</f>
        <v>135672.76905</v>
      </c>
      <c r="F1081" s="13">
        <f>+C1081+D1081+E1081</f>
        <v>1730942.3890500001</v>
      </c>
      <c r="G1081" s="11">
        <v>45363</v>
      </c>
      <c r="H1081" s="10" t="s">
        <v>31</v>
      </c>
      <c r="I1081" s="1" t="str">
        <f>IF(G1081&lt;=$K$1,"Pagado","Pendiente")</f>
        <v>Pagado</v>
      </c>
    </row>
    <row r="1082" spans="1:9" s="10" customFormat="1" hidden="1">
      <c r="A1082" s="9">
        <v>20828</v>
      </c>
      <c r="B1082" s="9">
        <v>16</v>
      </c>
      <c r="C1082" s="13">
        <v>310872.06</v>
      </c>
      <c r="D1082" s="13">
        <v>1284397.56</v>
      </c>
      <c r="E1082" s="13">
        <f>+D1082*0.105</f>
        <v>134861.7438</v>
      </c>
      <c r="F1082" s="13">
        <f>+C1082+D1082+E1082</f>
        <v>1730131.3638000002</v>
      </c>
      <c r="G1082" s="11">
        <v>45394</v>
      </c>
      <c r="H1082" s="10" t="s">
        <v>31</v>
      </c>
      <c r="I1082" s="1" t="str">
        <f>IF(G1082&lt;=$K$1,"Pagado","Pendiente")</f>
        <v>Pagado</v>
      </c>
    </row>
    <row r="1083" spans="1:9" s="10" customFormat="1" hidden="1">
      <c r="A1083" s="9">
        <v>20828</v>
      </c>
      <c r="B1083" s="9">
        <v>17</v>
      </c>
      <c r="C1083" s="13">
        <v>318792.90000000002</v>
      </c>
      <c r="D1083" s="13">
        <v>1276476.71</v>
      </c>
      <c r="E1083" s="13">
        <f>+D1083*0.105</f>
        <v>134030.05455</v>
      </c>
      <c r="F1083" s="13">
        <f>+C1083+D1083+E1083</f>
        <v>1729299.6645499999</v>
      </c>
      <c r="G1083" s="11">
        <v>45424</v>
      </c>
      <c r="H1083" s="10" t="s">
        <v>31</v>
      </c>
      <c r="I1083" s="1" t="str">
        <f>IF(G1083&lt;=$K$1,"Pagado","Pendiente")</f>
        <v>Pagado</v>
      </c>
    </row>
    <row r="1084" spans="1:9" s="10" customFormat="1" hidden="1">
      <c r="A1084" s="9">
        <v>20828</v>
      </c>
      <c r="B1084" s="9">
        <v>18</v>
      </c>
      <c r="C1084" s="13">
        <v>326915.56</v>
      </c>
      <c r="D1084" s="13">
        <v>1268354.05</v>
      </c>
      <c r="E1084" s="13">
        <f>+D1084*0.105</f>
        <v>133177.17525</v>
      </c>
      <c r="F1084" s="13">
        <f>+C1084+D1084+E1084</f>
        <v>1728446.7852500002</v>
      </c>
      <c r="G1084" s="11">
        <v>45455</v>
      </c>
      <c r="H1084" s="10" t="s">
        <v>31</v>
      </c>
      <c r="I1084" s="1" t="str">
        <f>IF(G1084&lt;=$K$1,"Pagado","Pendiente")</f>
        <v>Pagado</v>
      </c>
    </row>
    <row r="1085" spans="1:9" s="10" customFormat="1" hidden="1">
      <c r="A1085" s="9">
        <v>20828</v>
      </c>
      <c r="B1085" s="9">
        <v>19</v>
      </c>
      <c r="C1085" s="13">
        <v>335245.18</v>
      </c>
      <c r="D1085" s="13">
        <v>1260024.42</v>
      </c>
      <c r="E1085" s="13">
        <f>+D1085*0.105</f>
        <v>132302.56409999999</v>
      </c>
      <c r="F1085" s="13">
        <f>+C1085+D1085+E1085</f>
        <v>1727572.1640999999</v>
      </c>
      <c r="G1085" s="11">
        <v>45485</v>
      </c>
      <c r="H1085" s="10" t="s">
        <v>31</v>
      </c>
      <c r="I1085" s="1" t="str">
        <f>IF(G1085&lt;=$K$1,"Pagado","Pendiente")</f>
        <v>Pagado</v>
      </c>
    </row>
    <row r="1086" spans="1:9" s="10" customFormat="1" hidden="1">
      <c r="A1086" s="9">
        <v>20828</v>
      </c>
      <c r="B1086" s="9">
        <v>20</v>
      </c>
      <c r="C1086" s="13">
        <v>343787.05</v>
      </c>
      <c r="D1086" s="13">
        <v>1251482.55</v>
      </c>
      <c r="E1086" s="13">
        <f>+D1086*0.105</f>
        <v>131405.66774999999</v>
      </c>
      <c r="F1086" s="13">
        <f>+C1086+D1086+E1086</f>
        <v>1726675.2677500001</v>
      </c>
      <c r="G1086" s="11">
        <v>45516</v>
      </c>
      <c r="H1086" s="10" t="s">
        <v>31</v>
      </c>
      <c r="I1086" s="1" t="str">
        <f>IF(G1086&lt;=$K$1,"Pagado","Pendiente")</f>
        <v>Pagado</v>
      </c>
    </row>
    <row r="1087" spans="1:9" s="10" customFormat="1" hidden="1">
      <c r="A1087" s="9">
        <v>20828</v>
      </c>
      <c r="B1087" s="9">
        <v>21</v>
      </c>
      <c r="C1087" s="13">
        <v>312971.21000000002</v>
      </c>
      <c r="D1087" s="13">
        <v>1403074.4</v>
      </c>
      <c r="E1087" s="13">
        <f>+D1087*0.105</f>
        <v>147322.81199999998</v>
      </c>
      <c r="F1087" s="13">
        <f>+C1087+D1087+E1087</f>
        <v>1863368.4219999998</v>
      </c>
      <c r="G1087" s="11">
        <v>45547</v>
      </c>
      <c r="H1087" s="10" t="s">
        <v>31</v>
      </c>
      <c r="I1087" s="1" t="str">
        <f>IF(G1087&lt;=$K$1,"Pagado","Pendiente")</f>
        <v>Pagado</v>
      </c>
    </row>
    <row r="1088" spans="1:9" s="10" customFormat="1" hidden="1">
      <c r="A1088" s="9">
        <v>20828</v>
      </c>
      <c r="B1088" s="9">
        <v>22</v>
      </c>
      <c r="C1088" s="13">
        <v>321974.49</v>
      </c>
      <c r="D1088" s="13">
        <v>1394071.12</v>
      </c>
      <c r="E1088" s="13">
        <f>+D1088*0.105</f>
        <v>146377.4676</v>
      </c>
      <c r="F1088" s="13">
        <f>+C1088+D1088+E1088</f>
        <v>1862423.0776000002</v>
      </c>
      <c r="G1088" s="11">
        <v>45577</v>
      </c>
      <c r="H1088" s="10" t="s">
        <v>31</v>
      </c>
      <c r="I1088" s="1" t="str">
        <f>IF(G1088&lt;=$K$1,"Pagado","Pendiente")</f>
        <v>Pagado</v>
      </c>
    </row>
    <row r="1089" spans="1:9" s="10" customFormat="1" hidden="1">
      <c r="A1089" s="9">
        <v>20828</v>
      </c>
      <c r="B1089" s="9">
        <v>23</v>
      </c>
      <c r="C1089" s="13">
        <v>331236.76</v>
      </c>
      <c r="D1089" s="13">
        <v>1384808.84</v>
      </c>
      <c r="E1089" s="13">
        <f>+D1089*0.105</f>
        <v>145404.92819999999</v>
      </c>
      <c r="F1089" s="13">
        <f>+C1089+D1089+E1089</f>
        <v>1861450.5282000001</v>
      </c>
      <c r="G1089" s="11">
        <v>45608</v>
      </c>
      <c r="H1089" s="10" t="s">
        <v>31</v>
      </c>
      <c r="I1089" s="1" t="str">
        <f>IF(G1089&lt;=$K$1,"Pagado","Pendiente")</f>
        <v>Pagado</v>
      </c>
    </row>
    <row r="1090" spans="1:9" s="10" customFormat="1" hidden="1">
      <c r="A1090" s="9">
        <v>20828</v>
      </c>
      <c r="B1090" s="9">
        <v>24</v>
      </c>
      <c r="C1090" s="13">
        <v>340765.48</v>
      </c>
      <c r="D1090" s="13">
        <v>1375280.11</v>
      </c>
      <c r="E1090" s="13">
        <f>+D1090*0.105</f>
        <v>144404.41155000002</v>
      </c>
      <c r="F1090" s="13">
        <f>+C1090+D1090+E1090</f>
        <v>1860450.0015500002</v>
      </c>
      <c r="G1090" s="11">
        <v>45638</v>
      </c>
      <c r="H1090" s="10" t="s">
        <v>31</v>
      </c>
      <c r="I1090" s="1" t="str">
        <f>IF(G1090&lt;=$K$1,"Pagado","Pendiente")</f>
        <v>Pagado</v>
      </c>
    </row>
    <row r="1091" spans="1:9" s="10" customFormat="1" hidden="1">
      <c r="A1091" s="9">
        <v>20828</v>
      </c>
      <c r="B1091" s="9">
        <v>25</v>
      </c>
      <c r="C1091" s="13">
        <v>350868.33</v>
      </c>
      <c r="D1091" s="13">
        <v>1365477.26</v>
      </c>
      <c r="E1091" s="13">
        <f>+D1091*0.105</f>
        <v>143375.11230000001</v>
      </c>
      <c r="F1091" s="13">
        <f>+C1091+D1091+E1091</f>
        <v>1859720.7023</v>
      </c>
      <c r="G1091" s="11">
        <v>45669</v>
      </c>
      <c r="H1091" s="10" t="s">
        <v>31</v>
      </c>
      <c r="I1091" s="1" t="str">
        <f>IF(G1091&lt;=$K$1,"Pagado","Pendiente")</f>
        <v>Pagado</v>
      </c>
    </row>
    <row r="1092" spans="1:9" s="10" customFormat="1" hidden="1">
      <c r="A1092" s="9">
        <v>20828</v>
      </c>
      <c r="B1092" s="9">
        <v>26</v>
      </c>
      <c r="C1092" s="13">
        <v>360653.16</v>
      </c>
      <c r="D1092" s="13">
        <v>1355392.42</v>
      </c>
      <c r="E1092" s="13">
        <f>+D1092*0.12</f>
        <v>162647.09039999999</v>
      </c>
      <c r="F1092" s="13">
        <f>+C1092+D1092+E1092</f>
        <v>1878692.6703999997</v>
      </c>
      <c r="G1092" s="11">
        <v>45700</v>
      </c>
      <c r="H1092" s="10" t="s">
        <v>31</v>
      </c>
      <c r="I1092" s="1" t="str">
        <f>IF(G1092&lt;=$K$1,"Pagado","Pendiente")</f>
        <v>Pagado</v>
      </c>
    </row>
    <row r="1093" spans="1:9" s="10" customFormat="1" hidden="1">
      <c r="A1093" s="9">
        <v>20828</v>
      </c>
      <c r="B1093" s="9">
        <v>27</v>
      </c>
      <c r="C1093" s="13">
        <v>371028.11</v>
      </c>
      <c r="D1093" s="13">
        <v>1345017.47</v>
      </c>
      <c r="E1093" s="13">
        <f>+D1093*0.12</f>
        <v>161402.09639999998</v>
      </c>
      <c r="F1093" s="13">
        <f>+C1093+D1093+E1093</f>
        <v>1877447.6764</v>
      </c>
      <c r="G1093" s="11">
        <v>45728</v>
      </c>
      <c r="H1093" s="10" t="s">
        <v>31</v>
      </c>
      <c r="I1093" s="1" t="str">
        <f>IF(G1093&lt;=$K$1,"Pagado","Pendiente")</f>
        <v>Pagado</v>
      </c>
    </row>
    <row r="1094" spans="1:9" hidden="1">
      <c r="A1094" s="2">
        <v>20828</v>
      </c>
      <c r="B1094" s="2">
        <v>28</v>
      </c>
      <c r="C1094" s="8">
        <v>471687.24535757094</v>
      </c>
      <c r="D1094" s="8">
        <v>1312043.2802466019</v>
      </c>
      <c r="E1094" s="8">
        <f>+D1094*0.105</f>
        <v>137764.5444258932</v>
      </c>
      <c r="F1094" s="8">
        <f>+C1094+D1094+E1094</f>
        <v>1921495.070030066</v>
      </c>
      <c r="G1094" s="7">
        <v>45759</v>
      </c>
      <c r="H1094" s="1" t="s">
        <v>31</v>
      </c>
      <c r="I1094" s="1" t="str">
        <f>IF(G1094&lt;=$K$1,"Pagado","Pendiente")</f>
        <v>Pagado</v>
      </c>
    </row>
    <row r="1095" spans="1:9" s="10" customFormat="1" hidden="1">
      <c r="A1095" s="9">
        <v>20828</v>
      </c>
      <c r="B1095" s="9">
        <v>29</v>
      </c>
      <c r="C1095" s="13">
        <v>485837.8627182981</v>
      </c>
      <c r="D1095" s="13">
        <v>1297892.6628858747</v>
      </c>
      <c r="E1095" s="13">
        <f>+D1095*0.105</f>
        <v>136278.72960301684</v>
      </c>
      <c r="F1095" s="13">
        <f>+C1095+D1095+E1095</f>
        <v>1920009.2552071896</v>
      </c>
      <c r="G1095" s="11">
        <v>45789</v>
      </c>
      <c r="H1095" s="10" t="s">
        <v>31</v>
      </c>
      <c r="I1095" s="1" t="str">
        <f>IF(G1095&lt;=$K$1,"Pagado","Pendiente")</f>
        <v>Pagado</v>
      </c>
    </row>
    <row r="1096" spans="1:9" hidden="1">
      <c r="A1096" s="2">
        <v>20828</v>
      </c>
      <c r="B1096" s="2">
        <v>30</v>
      </c>
      <c r="C1096" s="8">
        <v>500412.99859984708</v>
      </c>
      <c r="D1096" s="8">
        <v>1283317.5270043258</v>
      </c>
      <c r="E1096" s="8">
        <f>+D1096*0.105</f>
        <v>134748.34033545421</v>
      </c>
      <c r="F1096" s="8">
        <f>+C1096+D1096+E1096</f>
        <v>1918478.8659396269</v>
      </c>
      <c r="G1096" s="7">
        <v>45820</v>
      </c>
      <c r="H1096" s="1" t="s">
        <v>31</v>
      </c>
      <c r="I1096" s="1" t="str">
        <f>IF(G1096&lt;=$K$1,"Pagado","Pendiente")</f>
        <v>Pagado</v>
      </c>
    </row>
    <row r="1097" spans="1:9" hidden="1">
      <c r="A1097" s="2">
        <v>20828</v>
      </c>
      <c r="B1097" s="2">
        <v>31</v>
      </c>
      <c r="C1097" s="8">
        <v>515425.3885578427</v>
      </c>
      <c r="D1097" s="8">
        <v>1268305.1370463301</v>
      </c>
      <c r="E1097" s="8">
        <f>+D1097*0.105</f>
        <v>133172.03938986466</v>
      </c>
      <c r="F1097" s="8">
        <f>+C1097+D1097+E1097</f>
        <v>1916902.5649940376</v>
      </c>
      <c r="G1097" s="7">
        <v>45850</v>
      </c>
      <c r="H1097" s="1" t="s">
        <v>31</v>
      </c>
      <c r="I1097" s="1" t="str">
        <f>IF(G1097&lt;=$K$1,"Pagado","Pendiente")</f>
        <v>Pagado</v>
      </c>
    </row>
    <row r="1098" spans="1:9" hidden="1">
      <c r="A1098" s="2">
        <v>20828</v>
      </c>
      <c r="B1098" s="2">
        <v>32</v>
      </c>
      <c r="C1098" s="8">
        <v>530888.15021457803</v>
      </c>
      <c r="D1098" s="8">
        <v>1252842.3753895948</v>
      </c>
      <c r="E1098" s="8">
        <f>+D1098*0.105</f>
        <v>131548.44941590744</v>
      </c>
      <c r="F1098" s="8">
        <f>+C1098+D1098+E1098</f>
        <v>1915278.9750200803</v>
      </c>
      <c r="G1098" s="7">
        <v>45881</v>
      </c>
      <c r="H1098" s="1" t="s">
        <v>31</v>
      </c>
      <c r="I1098" s="1" t="str">
        <f>IF(G1098&lt;=$K$1,"Pagado","Pendiente")</f>
        <v>Pagado</v>
      </c>
    </row>
    <row r="1099" spans="1:9" hidden="1">
      <c r="A1099" s="2">
        <v>863502600</v>
      </c>
      <c r="B1099" s="2">
        <v>46</v>
      </c>
      <c r="C1099" s="8">
        <v>3415192.27</v>
      </c>
      <c r="D1099" s="8">
        <v>1768387.33</v>
      </c>
      <c r="E1099" s="8">
        <v>212206.48</v>
      </c>
      <c r="F1099" s="8">
        <v>5395786.0800000001</v>
      </c>
      <c r="G1099" s="7">
        <v>47043</v>
      </c>
      <c r="H1099" s="1" t="s">
        <v>24</v>
      </c>
      <c r="I1099" s="1" t="str">
        <f>IF(G1099&lt;=$K$1,"Pagado","Pendiente")</f>
        <v>Pendiente</v>
      </c>
    </row>
    <row r="1100" spans="1:9" hidden="1">
      <c r="A1100" s="2">
        <v>24004</v>
      </c>
      <c r="B1100" s="2">
        <v>39</v>
      </c>
      <c r="C1100" s="8">
        <v>2791245.79</v>
      </c>
      <c r="D1100" s="8">
        <v>2983263.78</v>
      </c>
      <c r="E1100" s="8">
        <v>358289.99</v>
      </c>
      <c r="F1100" s="8">
        <v>6132799.5599999996</v>
      </c>
      <c r="G1100" s="7">
        <v>47043</v>
      </c>
      <c r="H1100" s="1" t="s">
        <v>31</v>
      </c>
      <c r="I1100" s="1" t="str">
        <f>IF(G1100&lt;=$K$1,"Pagado","Pendiente")</f>
        <v>Pendiente</v>
      </c>
    </row>
    <row r="1101" spans="1:9" hidden="1">
      <c r="A1101" s="2">
        <v>65210751</v>
      </c>
      <c r="B1101" s="2">
        <v>52</v>
      </c>
      <c r="C1101" s="8">
        <v>8958333.3300000001</v>
      </c>
      <c r="D1101" s="8">
        <v>1656678.08</v>
      </c>
      <c r="E1101" s="8">
        <v>198801.36999999918</v>
      </c>
      <c r="F1101" s="8">
        <v>10813812.779999999</v>
      </c>
      <c r="G1101" s="7">
        <v>47044</v>
      </c>
      <c r="H1101" s="1" t="s">
        <v>26</v>
      </c>
      <c r="I1101" s="1" t="str">
        <f>IF(G1101&lt;=$K$1,"Pagado","Pendiente")</f>
        <v>Pendiente</v>
      </c>
    </row>
    <row r="1102" spans="1:9" hidden="1">
      <c r="A1102" s="2">
        <v>23430</v>
      </c>
      <c r="B1102" s="2">
        <v>51</v>
      </c>
      <c r="C1102" s="8">
        <v>1527951.93</v>
      </c>
      <c r="D1102" s="8">
        <v>3061472.32</v>
      </c>
      <c r="E1102" s="8">
        <v>367376.67</v>
      </c>
      <c r="F1102" s="8">
        <v>4956800.92</v>
      </c>
      <c r="G1102" s="7">
        <v>47045</v>
      </c>
      <c r="H1102" s="1" t="s">
        <v>31</v>
      </c>
      <c r="I1102" s="1" t="str">
        <f>IF(G1102&lt;=$K$1,"Pagado","Pendiente")</f>
        <v>Pendiente</v>
      </c>
    </row>
    <row r="1103" spans="1:9" hidden="1">
      <c r="A1103" s="2">
        <v>23467</v>
      </c>
      <c r="B1103" s="2">
        <v>50</v>
      </c>
      <c r="C1103" s="8">
        <v>5729819.8099999996</v>
      </c>
      <c r="D1103" s="8">
        <v>11480521.15</v>
      </c>
      <c r="E1103" s="8">
        <v>1377662.54</v>
      </c>
      <c r="F1103" s="8">
        <v>18588003.5</v>
      </c>
      <c r="G1103" s="7">
        <v>47045</v>
      </c>
      <c r="H1103" s="1" t="s">
        <v>31</v>
      </c>
      <c r="I1103" s="1" t="str">
        <f>IF(G1103&lt;=$K$1,"Pagado","Pendiente")</f>
        <v>Pendiente</v>
      </c>
    </row>
    <row r="1104" spans="1:9" hidden="1">
      <c r="A1104" s="2">
        <v>394949</v>
      </c>
      <c r="B1104" s="2">
        <v>46</v>
      </c>
      <c r="C1104" s="8">
        <v>2307490.7000000002</v>
      </c>
      <c r="D1104" s="8">
        <v>2598826.59</v>
      </c>
      <c r="E1104" s="8">
        <v>311859.18</v>
      </c>
      <c r="F1104" s="8">
        <v>5218176.47</v>
      </c>
      <c r="G1104" s="7">
        <v>47052</v>
      </c>
      <c r="H1104" s="1" t="s">
        <v>30</v>
      </c>
      <c r="I1104" s="1" t="str">
        <f>IF(G1104&lt;=$K$1,"Pagado","Pendiente")</f>
        <v>Pendiente</v>
      </c>
    </row>
    <row r="1105" spans="1:9" hidden="1">
      <c r="A1105" s="2">
        <v>347916</v>
      </c>
      <c r="B1105" s="2">
        <v>52</v>
      </c>
      <c r="C1105" s="8">
        <v>5297740.2413701415</v>
      </c>
      <c r="D1105" s="8">
        <v>3155443.5268892846</v>
      </c>
      <c r="E1105" s="8">
        <v>378653.22322671418</v>
      </c>
      <c r="F1105" s="8">
        <v>8831836.9914861396</v>
      </c>
      <c r="G1105" s="7">
        <v>47053</v>
      </c>
      <c r="H1105" s="1" t="s">
        <v>30</v>
      </c>
      <c r="I1105" s="1" t="str">
        <f>IF(G1105&lt;=$K$1,"Pagado","Pendiente")</f>
        <v>Pendiente</v>
      </c>
    </row>
    <row r="1106" spans="1:9" hidden="1">
      <c r="A1106" s="2">
        <v>843950300</v>
      </c>
      <c r="B1106" s="2">
        <v>49</v>
      </c>
      <c r="C1106" s="8">
        <v>5585762.7999999998</v>
      </c>
      <c r="D1106" s="8">
        <v>2189606.6</v>
      </c>
      <c r="E1106" s="8">
        <f>+F1106-D1106-C1106</f>
        <v>262752.79000000004</v>
      </c>
      <c r="F1106" s="8">
        <v>8038122.1900000004</v>
      </c>
      <c r="G1106" s="7">
        <v>47053</v>
      </c>
      <c r="H1106" s="1" t="s">
        <v>24</v>
      </c>
      <c r="I1106" s="1" t="str">
        <f>IF(G1106&lt;=$K$1,"Pagado","Pendiente")</f>
        <v>Pendiente</v>
      </c>
    </row>
    <row r="1107" spans="1:9" hidden="1">
      <c r="A1107" s="2">
        <v>31295</v>
      </c>
      <c r="B1107" s="2">
        <v>46</v>
      </c>
      <c r="C1107" s="8">
        <v>4832928.5199999996</v>
      </c>
      <c r="D1107" s="8">
        <v>2427091.7000000002</v>
      </c>
      <c r="E1107" s="8">
        <v>291251.01</v>
      </c>
      <c r="F1107" s="8">
        <v>7551271.2300000004</v>
      </c>
      <c r="G1107" s="7">
        <v>47053</v>
      </c>
      <c r="H1107" s="1" t="s">
        <v>35</v>
      </c>
      <c r="I1107" s="1" t="str">
        <f>IF(G1107&lt;=$K$1,"Pagado","Pendiente")</f>
        <v>Pendiente</v>
      </c>
    </row>
    <row r="1108" spans="1:9" hidden="1">
      <c r="A1108" s="2">
        <v>66235635</v>
      </c>
      <c r="B1108" s="2">
        <v>52</v>
      </c>
      <c r="C1108" s="8">
        <v>7916666.6699999999</v>
      </c>
      <c r="D1108" s="8">
        <v>1512842.46</v>
      </c>
      <c r="E1108" s="8">
        <v>181541.10000000056</v>
      </c>
      <c r="F1108" s="8">
        <v>9611050.2300000004</v>
      </c>
      <c r="G1108" s="7">
        <v>47059</v>
      </c>
      <c r="H1108" s="1" t="s">
        <v>26</v>
      </c>
      <c r="I1108" s="1" t="str">
        <f>IF(G1108&lt;=$K$1,"Pagado","Pendiente")</f>
        <v>Pendiente</v>
      </c>
    </row>
    <row r="1109" spans="1:9" hidden="1">
      <c r="A1109" s="2">
        <v>22044</v>
      </c>
      <c r="B1109" s="2">
        <v>63</v>
      </c>
      <c r="C1109" s="8">
        <v>2032862.9763263678</v>
      </c>
      <c r="D1109" s="8">
        <v>699134.87452088029</v>
      </c>
      <c r="E1109" s="8">
        <v>83896.184942505628</v>
      </c>
      <c r="F1109" s="8">
        <v>2815894.0357897538</v>
      </c>
      <c r="G1109" s="7">
        <v>47059</v>
      </c>
      <c r="H1109" s="1" t="s">
        <v>31</v>
      </c>
      <c r="I1109" s="1" t="str">
        <f>IF(G1109&lt;=$K$1,"Pagado","Pendiente")</f>
        <v>Pendiente</v>
      </c>
    </row>
    <row r="1110" spans="1:9" hidden="1">
      <c r="A1110" s="2">
        <v>119980</v>
      </c>
      <c r="B1110" s="2">
        <v>48</v>
      </c>
      <c r="C1110" s="8">
        <v>14166666.67</v>
      </c>
      <c r="D1110" s="8">
        <v>5328219.17</v>
      </c>
      <c r="E1110" s="8">
        <f>+F1110-D1110-C1110</f>
        <v>639386.30000000075</v>
      </c>
      <c r="F1110" s="8">
        <v>20134272.140000001</v>
      </c>
      <c r="G1110" s="7">
        <v>47061</v>
      </c>
      <c r="H1110" s="1" t="s">
        <v>26</v>
      </c>
      <c r="I1110" s="1" t="str">
        <f>IF(G1110&lt;=$K$1,"Pagado","Pendiente")</f>
        <v>Pendiente</v>
      </c>
    </row>
    <row r="1111" spans="1:9" hidden="1">
      <c r="A1111" s="2">
        <v>20828</v>
      </c>
      <c r="B1111" s="2">
        <v>71</v>
      </c>
      <c r="C1111" s="8">
        <v>1681337.0964314886</v>
      </c>
      <c r="D1111" s="8">
        <v>102393.42917268426</v>
      </c>
      <c r="E1111" s="8">
        <f>+D1111*0.105</f>
        <v>10751.310063131847</v>
      </c>
      <c r="F1111" s="8">
        <f>+C1111+D1111+E1111</f>
        <v>1794481.8356673047</v>
      </c>
      <c r="G1111" s="7">
        <v>47069</v>
      </c>
      <c r="H1111" s="1" t="s">
        <v>31</v>
      </c>
      <c r="I1111" s="1" t="str">
        <f>IF(G1111&lt;=$K$1,"Pagado","Pendiente")</f>
        <v>Pendiente</v>
      </c>
    </row>
    <row r="1112" spans="1:9" hidden="1">
      <c r="A1112" s="2">
        <v>23996</v>
      </c>
      <c r="B1112" s="2">
        <v>40</v>
      </c>
      <c r="C1112" s="8">
        <v>2627593.9300000002</v>
      </c>
      <c r="D1112" s="8">
        <v>7929208</v>
      </c>
      <c r="E1112" s="8">
        <v>952297.88</v>
      </c>
      <c r="F1112" s="8">
        <f>+C1112+D1112+E1112</f>
        <v>11509099.810000001</v>
      </c>
      <c r="G1112" s="7">
        <v>47070</v>
      </c>
      <c r="H1112" s="1" t="s">
        <v>31</v>
      </c>
      <c r="I1112" s="1" t="str">
        <f>IF(G1112&lt;=$K$1,"Pagado","Pendiente")</f>
        <v>Pendiente</v>
      </c>
    </row>
    <row r="1113" spans="1:9" hidden="1">
      <c r="A1113" s="2">
        <v>927328</v>
      </c>
      <c r="B1113" s="2">
        <v>49</v>
      </c>
      <c r="C1113" s="8">
        <v>10454939.504512705</v>
      </c>
      <c r="D1113" s="8">
        <v>3592080.1389532173</v>
      </c>
      <c r="E1113" s="8">
        <v>431049.61667438608</v>
      </c>
      <c r="F1113" s="8">
        <v>14478069.260140309</v>
      </c>
      <c r="G1113" s="7">
        <v>47074</v>
      </c>
      <c r="H1113" s="1" t="s">
        <v>32</v>
      </c>
      <c r="I1113" s="1" t="str">
        <f>IF(G1113&lt;=$K$1,"Pagado","Pendiente")</f>
        <v>Pendiente</v>
      </c>
    </row>
    <row r="1114" spans="1:9" hidden="1">
      <c r="A1114" s="2">
        <v>75472831</v>
      </c>
      <c r="B1114" s="2">
        <v>49</v>
      </c>
      <c r="C1114" s="8">
        <v>2083333.33</v>
      </c>
      <c r="D1114" s="8">
        <v>679452.06</v>
      </c>
      <c r="E1114" s="8">
        <f>+F1114-D1114-C1114</f>
        <v>81534.25</v>
      </c>
      <c r="F1114" s="8">
        <v>2844319.64</v>
      </c>
      <c r="G1114" s="7">
        <v>47074</v>
      </c>
      <c r="H1114" s="1" t="s">
        <v>26</v>
      </c>
      <c r="I1114" s="1" t="str">
        <f>IF(G1114&lt;=$K$1,"Pagado","Pendiente")</f>
        <v>Pendiente</v>
      </c>
    </row>
    <row r="1115" spans="1:9" hidden="1">
      <c r="A1115" s="2">
        <v>863502400</v>
      </c>
      <c r="B1115" s="2">
        <v>47</v>
      </c>
      <c r="C1115" s="8">
        <v>6787217.6699999999</v>
      </c>
      <c r="D1115" s="8">
        <v>3234369.56</v>
      </c>
      <c r="E1115" s="8">
        <v>388124.34</v>
      </c>
      <c r="F1115" s="8">
        <v>10409711.57</v>
      </c>
      <c r="G1115" s="7">
        <v>47074</v>
      </c>
      <c r="H1115" s="1" t="s">
        <v>24</v>
      </c>
      <c r="I1115" s="1" t="str">
        <f>IF(G1115&lt;=$K$1,"Pagado","Pendiente")</f>
        <v>Pendiente</v>
      </c>
    </row>
    <row r="1116" spans="1:9" hidden="1">
      <c r="A1116" s="2">
        <v>863502600</v>
      </c>
      <c r="B1116" s="2">
        <v>47</v>
      </c>
      <c r="C1116" s="8">
        <v>3510629.82</v>
      </c>
      <c r="D1116" s="8">
        <v>1672949.78</v>
      </c>
      <c r="E1116" s="8">
        <v>200753.98</v>
      </c>
      <c r="F1116" s="8">
        <v>5384333.5800000001</v>
      </c>
      <c r="G1116" s="7">
        <v>47074</v>
      </c>
      <c r="H1116" s="1" t="s">
        <v>24</v>
      </c>
      <c r="I1116" s="1" t="str">
        <f>IF(G1116&lt;=$K$1,"Pagado","Pendiente")</f>
        <v>Pendiente</v>
      </c>
    </row>
    <row r="1117" spans="1:9" hidden="1">
      <c r="A1117" s="2">
        <v>24004</v>
      </c>
      <c r="B1117" s="2">
        <v>40</v>
      </c>
      <c r="C1117" s="8">
        <v>2885020.18</v>
      </c>
      <c r="D1117" s="8">
        <v>2889489.39</v>
      </c>
      <c r="E1117" s="8">
        <v>347027.68</v>
      </c>
      <c r="F1117" s="8">
        <v>6121537.25</v>
      </c>
      <c r="G1117" s="7">
        <v>47074</v>
      </c>
      <c r="H1117" s="1" t="s">
        <v>31</v>
      </c>
      <c r="I1117" s="1" t="str">
        <f>IF(G1117&lt;=$K$1,"Pagado","Pendiente")</f>
        <v>Pendiente</v>
      </c>
    </row>
    <row r="1118" spans="1:9" hidden="1">
      <c r="A1118" s="2">
        <v>65210751</v>
      </c>
      <c r="B1118" s="2">
        <v>53</v>
      </c>
      <c r="C1118" s="8">
        <v>8958333.3300000001</v>
      </c>
      <c r="D1118" s="8">
        <v>1619863.02</v>
      </c>
      <c r="E1118" s="8">
        <v>194383.5700000003</v>
      </c>
      <c r="F1118" s="8">
        <v>10772579.92</v>
      </c>
      <c r="G1118" s="7">
        <v>47075</v>
      </c>
      <c r="H1118" s="1" t="s">
        <v>26</v>
      </c>
      <c r="I1118" s="1" t="str">
        <f>IF(G1118&lt;=$K$1,"Pagado","Pendiente")</f>
        <v>Pendiente</v>
      </c>
    </row>
    <row r="1119" spans="1:9" hidden="1">
      <c r="A1119" s="2">
        <v>23430</v>
      </c>
      <c r="B1119" s="2">
        <v>52</v>
      </c>
      <c r="C1119" s="8">
        <v>1578185.97</v>
      </c>
      <c r="D1119" s="8">
        <v>3011238.28</v>
      </c>
      <c r="E1119" s="8">
        <v>361348.59</v>
      </c>
      <c r="F1119" s="8">
        <v>4950772.84</v>
      </c>
      <c r="G1119" s="7">
        <v>47076</v>
      </c>
      <c r="H1119" s="1" t="s">
        <v>31</v>
      </c>
      <c r="I1119" s="1" t="str">
        <f>IF(G1119&lt;=$K$1,"Pagado","Pendiente")</f>
        <v>Pendiente</v>
      </c>
    </row>
    <row r="1120" spans="1:9" hidden="1">
      <c r="A1120" s="2">
        <v>23467</v>
      </c>
      <c r="B1120" s="2">
        <v>51</v>
      </c>
      <c r="C1120" s="8">
        <v>5918197.4500000002</v>
      </c>
      <c r="D1120" s="8">
        <v>11292143.51</v>
      </c>
      <c r="E1120" s="8">
        <v>1355057.22</v>
      </c>
      <c r="F1120" s="8">
        <v>18565398.18</v>
      </c>
      <c r="G1120" s="7">
        <v>47076</v>
      </c>
      <c r="H1120" s="1" t="s">
        <v>31</v>
      </c>
      <c r="I1120" s="1" t="str">
        <f>IF(G1120&lt;=$K$1,"Pagado","Pendiente")</f>
        <v>Pendiente</v>
      </c>
    </row>
    <row r="1121" spans="1:9" hidden="1">
      <c r="A1121" s="2">
        <v>394949</v>
      </c>
      <c r="B1121" s="2">
        <v>47</v>
      </c>
      <c r="C1121" s="8">
        <v>2372869.6</v>
      </c>
      <c r="D1121" s="8">
        <v>2533447.69</v>
      </c>
      <c r="E1121" s="8">
        <v>304013.71000000002</v>
      </c>
      <c r="F1121" s="8">
        <v>5210331</v>
      </c>
      <c r="G1121" s="7">
        <v>47083</v>
      </c>
      <c r="H1121" s="1" t="s">
        <v>30</v>
      </c>
      <c r="I1121" s="1" t="str">
        <f>IF(G1121&lt;=$K$1,"Pagado","Pendiente")</f>
        <v>Pendiente</v>
      </c>
    </row>
    <row r="1122" spans="1:9" hidden="1">
      <c r="A1122" s="2">
        <v>347916</v>
      </c>
      <c r="B1122" s="2">
        <v>53</v>
      </c>
      <c r="C1122" s="8">
        <v>5416939.3968009707</v>
      </c>
      <c r="D1122" s="8">
        <v>3036244.3714584564</v>
      </c>
      <c r="E1122" s="8">
        <v>364349.32457501476</v>
      </c>
      <c r="F1122" s="8">
        <v>8817533.092834441</v>
      </c>
      <c r="G1122" s="7">
        <v>47084</v>
      </c>
      <c r="H1122" s="1" t="s">
        <v>30</v>
      </c>
      <c r="I1122" s="1" t="str">
        <f>IF(G1122&lt;=$K$1,"Pagado","Pendiente")</f>
        <v>Pendiente</v>
      </c>
    </row>
    <row r="1123" spans="1:9" hidden="1">
      <c r="A1123" s="2">
        <v>843950300</v>
      </c>
      <c r="B1123" s="2">
        <v>50</v>
      </c>
      <c r="C1123" s="8">
        <v>5741856.9400000004</v>
      </c>
      <c r="D1123" s="8">
        <v>2033512.46</v>
      </c>
      <c r="E1123" s="8">
        <f>+F1123-D1123-C1123</f>
        <v>244021.5</v>
      </c>
      <c r="F1123" s="8">
        <v>8019390.9000000004</v>
      </c>
      <c r="G1123" s="7">
        <v>47084</v>
      </c>
      <c r="H1123" s="1" t="s">
        <v>24</v>
      </c>
      <c r="I1123" s="1" t="str">
        <f>IF(G1123&lt;=$K$1,"Pagado","Pendiente")</f>
        <v>Pendiente</v>
      </c>
    </row>
    <row r="1124" spans="1:9" hidden="1">
      <c r="A1124" s="2">
        <v>31295</v>
      </c>
      <c r="B1124" s="2">
        <v>47</v>
      </c>
      <c r="C1124" s="8">
        <v>4965834.05</v>
      </c>
      <c r="D1124" s="8">
        <v>2294186.17</v>
      </c>
      <c r="E1124" s="8">
        <v>275302.34000000003</v>
      </c>
      <c r="F1124" s="8">
        <v>7535322.5599999996</v>
      </c>
      <c r="G1124" s="7">
        <v>47084</v>
      </c>
      <c r="H1124" s="1" t="s">
        <v>35</v>
      </c>
      <c r="I1124" s="1" t="str">
        <f>IF(G1124&lt;=$K$1,"Pagado","Pendiente")</f>
        <v>Pendiente</v>
      </c>
    </row>
    <row r="1125" spans="1:9" hidden="1">
      <c r="A1125" s="2">
        <v>66235635</v>
      </c>
      <c r="B1125" s="2">
        <v>53</v>
      </c>
      <c r="C1125" s="8">
        <v>7916666.6699999999</v>
      </c>
      <c r="D1125" s="8">
        <v>1388127.85</v>
      </c>
      <c r="E1125" s="8">
        <v>166575.33999999985</v>
      </c>
      <c r="F1125" s="8">
        <v>9471369.8599999994</v>
      </c>
      <c r="G1125" s="7">
        <v>47089</v>
      </c>
      <c r="H1125" s="1" t="s">
        <v>26</v>
      </c>
      <c r="I1125" s="1" t="str">
        <f>IF(G1125&lt;=$K$1,"Pagado","Pendiente")</f>
        <v>Pendiente</v>
      </c>
    </row>
    <row r="1126" spans="1:9" hidden="1">
      <c r="A1126" s="2">
        <v>22044</v>
      </c>
      <c r="B1126" s="2">
        <v>64</v>
      </c>
      <c r="C1126" s="8">
        <v>2093848.8656161586</v>
      </c>
      <c r="D1126" s="8">
        <v>638148.98523108929</v>
      </c>
      <c r="E1126" s="8">
        <v>76577.878227730718</v>
      </c>
      <c r="F1126" s="8">
        <v>2808575.7290749787</v>
      </c>
      <c r="G1126" s="7">
        <v>47089</v>
      </c>
      <c r="H1126" s="1" t="s">
        <v>31</v>
      </c>
      <c r="I1126" s="1" t="str">
        <f>IF(G1126&lt;=$K$1,"Pagado","Pendiente")</f>
        <v>Pendiente</v>
      </c>
    </row>
    <row r="1127" spans="1:9" hidden="1">
      <c r="A1127" s="2">
        <v>119980</v>
      </c>
      <c r="B1127" s="2">
        <v>49</v>
      </c>
      <c r="C1127" s="8">
        <v>14166666.67</v>
      </c>
      <c r="D1127" s="8">
        <v>4173150.68</v>
      </c>
      <c r="E1127" s="8">
        <f>+F1127-D1127-C1127</f>
        <v>500778.08000000007</v>
      </c>
      <c r="F1127" s="8">
        <v>18840595.43</v>
      </c>
      <c r="G1127" s="7">
        <v>47091</v>
      </c>
      <c r="H1127" s="1" t="s">
        <v>26</v>
      </c>
      <c r="I1127" s="1" t="str">
        <f>IF(G1127&lt;=$K$1,"Pagado","Pendiente")</f>
        <v>Pendiente</v>
      </c>
    </row>
    <row r="1128" spans="1:9" hidden="1">
      <c r="A1128" s="2">
        <v>20828</v>
      </c>
      <c r="B1128" s="2">
        <v>72</v>
      </c>
      <c r="C1128" s="8">
        <v>1731777.2093244332</v>
      </c>
      <c r="D1128" s="8">
        <v>51953.3162797396</v>
      </c>
      <c r="E1128" s="8">
        <f>+D1128*0.105</f>
        <v>5455.0982093726579</v>
      </c>
      <c r="F1128" s="8">
        <f>+C1128+D1128+E1128</f>
        <v>1789185.6238135456</v>
      </c>
      <c r="G1128" s="7">
        <v>47099</v>
      </c>
      <c r="H1128" s="1" t="s">
        <v>31</v>
      </c>
      <c r="I1128" s="1" t="str">
        <f>IF(G1128&lt;=$K$1,"Pagado","Pendiente")</f>
        <v>Pendiente</v>
      </c>
    </row>
    <row r="1129" spans="1:9" hidden="1">
      <c r="A1129" s="2">
        <v>23996</v>
      </c>
      <c r="B1129" s="2">
        <v>41</v>
      </c>
      <c r="C1129" s="8">
        <v>2710066.18</v>
      </c>
      <c r="D1129" s="8">
        <v>7846735.75</v>
      </c>
      <c r="E1129" s="8">
        <v>942392.96</v>
      </c>
      <c r="F1129" s="8">
        <f>+C1129+D1129+E1129</f>
        <v>11499194.890000001</v>
      </c>
      <c r="G1129" s="7">
        <v>47100</v>
      </c>
      <c r="H1129" s="1" t="s">
        <v>31</v>
      </c>
      <c r="I1129" s="1" t="str">
        <f>IF(G1129&lt;=$K$1,"Pagado","Pendiente")</f>
        <v>Pendiente</v>
      </c>
    </row>
    <row r="1130" spans="1:9" hidden="1">
      <c r="A1130" s="2">
        <v>927328</v>
      </c>
      <c r="B1130" s="2">
        <v>50</v>
      </c>
      <c r="C1130" s="8">
        <v>10715441.747166812</v>
      </c>
      <c r="D1130" s="8">
        <v>3331577.8962991093</v>
      </c>
      <c r="E1130" s="8">
        <v>399789.34755589312</v>
      </c>
      <c r="F1130" s="8">
        <v>14446808.991021816</v>
      </c>
      <c r="G1130" s="7">
        <v>47104</v>
      </c>
      <c r="H1130" s="1" t="s">
        <v>32</v>
      </c>
      <c r="I1130" s="1" t="str">
        <f>IF(G1130&lt;=$K$1,"Pagado","Pendiente")</f>
        <v>Pendiente</v>
      </c>
    </row>
    <row r="1131" spans="1:9" hidden="1">
      <c r="A1131" s="2">
        <v>75472831</v>
      </c>
      <c r="B1131" s="2">
        <v>50</v>
      </c>
      <c r="C1131" s="8">
        <v>2083333.33</v>
      </c>
      <c r="D1131" s="8">
        <v>622831.05000000005</v>
      </c>
      <c r="E1131" s="8">
        <f>+F1131-D1131-C1131</f>
        <v>74739.729999999516</v>
      </c>
      <c r="F1131" s="8">
        <v>2780904.11</v>
      </c>
      <c r="G1131" s="7">
        <v>47104</v>
      </c>
      <c r="H1131" s="1" t="s">
        <v>26</v>
      </c>
      <c r="I1131" s="1" t="str">
        <f>IF(G1131&lt;=$K$1,"Pagado","Pendiente")</f>
        <v>Pendiente</v>
      </c>
    </row>
    <row r="1132" spans="1:9" hidden="1">
      <c r="A1132" s="2">
        <v>863502400</v>
      </c>
      <c r="B1132" s="2">
        <v>48</v>
      </c>
      <c r="C1132" s="8">
        <v>6976886.46</v>
      </c>
      <c r="D1132" s="8">
        <v>3044700.77</v>
      </c>
      <c r="E1132" s="8">
        <v>365364.09</v>
      </c>
      <c r="F1132" s="8">
        <v>10386951.32</v>
      </c>
      <c r="G1132" s="7">
        <v>47104</v>
      </c>
      <c r="H1132" s="1" t="s">
        <v>24</v>
      </c>
      <c r="I1132" s="1" t="str">
        <f>IF(G1132&lt;=$K$1,"Pagado","Pendiente")</f>
        <v>Pendiente</v>
      </c>
    </row>
    <row r="1133" spans="1:9" hidden="1">
      <c r="A1133" s="2">
        <v>863502600</v>
      </c>
      <c r="B1133" s="2">
        <v>48</v>
      </c>
      <c r="C1133" s="8">
        <v>3608734.37</v>
      </c>
      <c r="D1133" s="8">
        <v>1574845.23</v>
      </c>
      <c r="E1133" s="8">
        <v>188981.43</v>
      </c>
      <c r="F1133" s="8">
        <v>5372561.0300000003</v>
      </c>
      <c r="G1133" s="7">
        <v>47104</v>
      </c>
      <c r="H1133" s="1" t="s">
        <v>24</v>
      </c>
      <c r="I1133" s="1" t="str">
        <f>IF(G1133&lt;=$K$1,"Pagado","Pendiente")</f>
        <v>Pendiente</v>
      </c>
    </row>
    <row r="1134" spans="1:9" hidden="1">
      <c r="A1134" s="2">
        <v>24004</v>
      </c>
      <c r="B1134" s="2">
        <v>41</v>
      </c>
      <c r="C1134" s="8">
        <v>2981945</v>
      </c>
      <c r="D1134" s="8">
        <v>2792564.57</v>
      </c>
      <c r="E1134" s="8">
        <v>335387.01</v>
      </c>
      <c r="F1134" s="8">
        <v>6109896.5800000001</v>
      </c>
      <c r="G1134" s="7">
        <v>47104</v>
      </c>
      <c r="H1134" s="1" t="s">
        <v>31</v>
      </c>
      <c r="I1134" s="1" t="str">
        <f>IF(G1134&lt;=$K$1,"Pagado","Pendiente")</f>
        <v>Pendiente</v>
      </c>
    </row>
    <row r="1135" spans="1:9" hidden="1">
      <c r="A1135" s="2">
        <v>65210751</v>
      </c>
      <c r="B1135" s="2">
        <v>54</v>
      </c>
      <c r="C1135" s="8">
        <v>8958333.3300000001</v>
      </c>
      <c r="D1135" s="8">
        <v>1202625.57</v>
      </c>
      <c r="E1135" s="8">
        <v>144315.06000000052</v>
      </c>
      <c r="F1135" s="8">
        <v>10305273.960000001</v>
      </c>
      <c r="G1135" s="7">
        <v>47105</v>
      </c>
      <c r="H1135" s="1" t="s">
        <v>26</v>
      </c>
      <c r="I1135" s="1" t="str">
        <f>IF(G1135&lt;=$K$1,"Pagado","Pendiente")</f>
        <v>Pendiente</v>
      </c>
    </row>
    <row r="1136" spans="1:9" hidden="1">
      <c r="A1136" s="2">
        <v>23430</v>
      </c>
      <c r="B1136" s="2">
        <v>53</v>
      </c>
      <c r="C1136" s="8">
        <v>1630071.53</v>
      </c>
      <c r="D1136" s="8">
        <v>2959352.72</v>
      </c>
      <c r="E1136" s="8">
        <v>355122.33</v>
      </c>
      <c r="F1136" s="8">
        <v>4944546.58</v>
      </c>
      <c r="G1136" s="7">
        <v>47106</v>
      </c>
      <c r="H1136" s="1" t="s">
        <v>31</v>
      </c>
      <c r="I1136" s="1" t="str">
        <f>IF(G1136&lt;=$K$1,"Pagado","Pendiente")</f>
        <v>Pendiente</v>
      </c>
    </row>
    <row r="1137" spans="1:9" hidden="1">
      <c r="A1137" s="2">
        <v>23467</v>
      </c>
      <c r="B1137" s="2">
        <v>52</v>
      </c>
      <c r="C1137" s="8">
        <v>6112768.3200000003</v>
      </c>
      <c r="D1137" s="8">
        <v>11097572.640000001</v>
      </c>
      <c r="E1137" s="8">
        <v>1331708.72</v>
      </c>
      <c r="F1137" s="8">
        <v>18542049.68</v>
      </c>
      <c r="G1137" s="7">
        <v>47106</v>
      </c>
      <c r="H1137" s="1" t="s">
        <v>31</v>
      </c>
      <c r="I1137" s="1" t="str">
        <f>IF(G1137&lt;=$K$1,"Pagado","Pendiente")</f>
        <v>Pendiente</v>
      </c>
    </row>
    <row r="1138" spans="1:9" hidden="1">
      <c r="A1138" s="2">
        <v>394949</v>
      </c>
      <c r="B1138" s="2">
        <v>48</v>
      </c>
      <c r="C1138" s="8">
        <v>2440100.91</v>
      </c>
      <c r="D1138" s="8">
        <v>2466216.38</v>
      </c>
      <c r="E1138" s="8">
        <v>295945.95</v>
      </c>
      <c r="F1138" s="8">
        <v>5202263.24</v>
      </c>
      <c r="G1138" s="7">
        <v>47113</v>
      </c>
      <c r="H1138" s="1" t="s">
        <v>30</v>
      </c>
      <c r="I1138" s="1" t="str">
        <f>IF(G1138&lt;=$K$1,"Pagado","Pendiente")</f>
        <v>Pendiente</v>
      </c>
    </row>
    <row r="1139" spans="1:9" s="10" customFormat="1" hidden="1">
      <c r="A1139" s="9">
        <v>20466</v>
      </c>
      <c r="B1139" s="9">
        <v>1</v>
      </c>
      <c r="C1139" s="13"/>
      <c r="D1139" s="13">
        <v>1200000</v>
      </c>
      <c r="E1139" s="13">
        <f>+D1139*0.12</f>
        <v>144000</v>
      </c>
      <c r="F1139" s="13">
        <f>+C1139+D1139+E1139</f>
        <v>1344000</v>
      </c>
      <c r="G1139" s="11">
        <v>44834</v>
      </c>
      <c r="H1139" s="10" t="s">
        <v>31</v>
      </c>
      <c r="I1139" s="1" t="str">
        <f>IF(G1139&lt;=$K$1,"Pagado","Pendiente")</f>
        <v>Pagado</v>
      </c>
    </row>
    <row r="1140" spans="1:9" s="10" customFormat="1" hidden="1">
      <c r="A1140" s="9">
        <v>20466</v>
      </c>
      <c r="B1140" s="9">
        <v>2</v>
      </c>
      <c r="C1140" s="13"/>
      <c r="D1140" s="13">
        <v>1195135.1464863964</v>
      </c>
      <c r="E1140" s="13">
        <f>+D1140*0.12</f>
        <v>143416.21757836756</v>
      </c>
      <c r="F1140" s="13">
        <f>+C1140+D1140+E1140</f>
        <v>1338551.364064764</v>
      </c>
      <c r="G1140" s="11">
        <v>44865</v>
      </c>
      <c r="H1140" s="10" t="s">
        <v>31</v>
      </c>
      <c r="I1140" s="1" t="str">
        <f>IF(G1140&lt;=$K$1,"Pagado","Pendiente")</f>
        <v>Pagado</v>
      </c>
    </row>
    <row r="1141" spans="1:9" s="10" customFormat="1" hidden="1">
      <c r="A1141" s="9">
        <v>20466</v>
      </c>
      <c r="B1141" s="9">
        <v>3</v>
      </c>
      <c r="C1141" s="13"/>
      <c r="D1141" s="13">
        <v>1190124.3473673847</v>
      </c>
      <c r="E1141" s="13">
        <f>+D1141*0.12</f>
        <v>142814.92168408615</v>
      </c>
      <c r="F1141" s="13">
        <f>+C1141+D1141+E1141</f>
        <v>1332939.2690514708</v>
      </c>
      <c r="G1141" s="11">
        <v>44895</v>
      </c>
      <c r="H1141" s="10" t="s">
        <v>31</v>
      </c>
      <c r="I1141" s="1" t="str">
        <f>IF(G1141&lt;=$K$1,"Pagado","Pendiente")</f>
        <v>Pagado</v>
      </c>
    </row>
    <row r="1142" spans="1:9" s="10" customFormat="1" hidden="1">
      <c r="A1142" s="9">
        <v>20466</v>
      </c>
      <c r="B1142" s="9">
        <v>4</v>
      </c>
      <c r="C1142" s="13"/>
      <c r="D1142" s="13">
        <v>1184963.2242748027</v>
      </c>
      <c r="E1142" s="13">
        <f>+D1142*0.12</f>
        <v>142195.58691297632</v>
      </c>
      <c r="F1142" s="13">
        <f>+C1142+D1142+E1142</f>
        <v>1327158.8111877791</v>
      </c>
      <c r="G1142" s="11">
        <v>44926</v>
      </c>
      <c r="H1142" s="10" t="s">
        <v>31</v>
      </c>
      <c r="I1142" s="1" t="str">
        <f>IF(G1142&lt;=$K$1,"Pagado","Pendiente")</f>
        <v>Pagado</v>
      </c>
    </row>
    <row r="1143" spans="1:9" s="10" customFormat="1" hidden="1">
      <c r="A1143" s="9">
        <v>20466</v>
      </c>
      <c r="B1143" s="9">
        <v>5</v>
      </c>
      <c r="C1143" s="13"/>
      <c r="D1143" s="13">
        <v>1179647.2674894433</v>
      </c>
      <c r="E1143" s="13">
        <f>+D1143*0.12</f>
        <v>141557.67209873319</v>
      </c>
      <c r="F1143" s="13">
        <f>+C1143+D1143+E1143</f>
        <v>1321204.9395881766</v>
      </c>
      <c r="G1143" s="11">
        <v>44957</v>
      </c>
      <c r="H1143" s="10" t="s">
        <v>31</v>
      </c>
      <c r="I1143" s="1" t="str">
        <f>IF(G1143&lt;=$K$1,"Pagado","Pendiente")</f>
        <v>Pagado</v>
      </c>
    </row>
    <row r="1144" spans="1:9" s="10" customFormat="1" hidden="1">
      <c r="A1144" s="9">
        <v>20466</v>
      </c>
      <c r="B1144" s="9">
        <v>6</v>
      </c>
      <c r="C1144" s="13"/>
      <c r="D1144" s="13">
        <v>1174171.8320005231</v>
      </c>
      <c r="E1144" s="13">
        <f>+D1144*0.12</f>
        <v>140900.61984006278</v>
      </c>
      <c r="F1144" s="13">
        <f>+C1144+D1144+E1144</f>
        <v>1315072.4518405858</v>
      </c>
      <c r="G1144" s="11">
        <v>44985</v>
      </c>
      <c r="H1144" s="10" t="s">
        <v>31</v>
      </c>
      <c r="I1144" s="1" t="str">
        <f>IF(G1144&lt;=$K$1,"Pagado","Pendiente")</f>
        <v>Pagado</v>
      </c>
    </row>
    <row r="1145" spans="1:9" s="10" customFormat="1" hidden="1">
      <c r="A1145" s="9">
        <v>20466</v>
      </c>
      <c r="B1145" s="9">
        <v>7</v>
      </c>
      <c r="C1145" s="13"/>
      <c r="D1145" s="13">
        <v>1168532.1334469351</v>
      </c>
      <c r="E1145" s="13">
        <f>+D1145*0.12</f>
        <v>140223.8560136322</v>
      </c>
      <c r="F1145" s="13">
        <f>+C1145+D1145+E1145</f>
        <v>1308755.9894605672</v>
      </c>
      <c r="G1145" s="11">
        <v>45016</v>
      </c>
      <c r="H1145" s="10" t="s">
        <v>31</v>
      </c>
      <c r="I1145" s="1" t="str">
        <f>IF(G1145&lt;=$K$1,"Pagado","Pendiente")</f>
        <v>Pagado</v>
      </c>
    </row>
    <row r="1146" spans="1:9" s="10" customFormat="1" hidden="1">
      <c r="A1146" s="9">
        <v>20466</v>
      </c>
      <c r="B1146" s="9">
        <v>8</v>
      </c>
      <c r="C1146" s="13"/>
      <c r="D1146" s="13">
        <v>1162723.2439367396</v>
      </c>
      <c r="E1146" s="13">
        <f>+D1146*0.12</f>
        <v>139526.78927240876</v>
      </c>
      <c r="F1146" s="13">
        <f>+C1146+D1146+E1146</f>
        <v>1302250.0332091483</v>
      </c>
      <c r="G1146" s="11">
        <v>45046</v>
      </c>
      <c r="H1146" s="10" t="s">
        <v>31</v>
      </c>
      <c r="I1146" s="1" t="str">
        <f>IF(G1146&lt;=$K$1,"Pagado","Pendiente")</f>
        <v>Pagado</v>
      </c>
    </row>
    <row r="1147" spans="1:9" s="10" customFormat="1" hidden="1">
      <c r="A1147" s="9">
        <v>20466</v>
      </c>
      <c r="B1147" s="9">
        <v>9</v>
      </c>
      <c r="C1147" s="13"/>
      <c r="D1147" s="13">
        <v>1156740.0877412383</v>
      </c>
      <c r="E1147" s="13">
        <f>+D1147*0.12</f>
        <v>138808.81052894858</v>
      </c>
      <c r="F1147" s="13">
        <f>+C1147+D1147+E1147</f>
        <v>1295548.898270187</v>
      </c>
      <c r="G1147" s="11">
        <v>45077</v>
      </c>
      <c r="H1147" s="10" t="s">
        <v>31</v>
      </c>
      <c r="I1147" s="1" t="str">
        <f>IF(G1147&lt;=$K$1,"Pagado","Pendiente")</f>
        <v>Pagado</v>
      </c>
    </row>
    <row r="1148" spans="1:9" s="10" customFormat="1" hidden="1">
      <c r="A1148" s="9">
        <v>20466</v>
      </c>
      <c r="B1148" s="9">
        <v>10</v>
      </c>
      <c r="C1148" s="13"/>
      <c r="D1148" s="13">
        <v>1150577.4368598717</v>
      </c>
      <c r="E1148" s="13">
        <f>+D1148*0.12</f>
        <v>138069.29242318461</v>
      </c>
      <c r="F1148" s="13">
        <f>+C1148+D1148+E1148</f>
        <v>1288646.7292830562</v>
      </c>
      <c r="G1148" s="11">
        <v>45107</v>
      </c>
      <c r="H1148" s="10" t="s">
        <v>31</v>
      </c>
      <c r="I1148" s="1" t="str">
        <f>IF(G1148&lt;=$K$1,"Pagado","Pendiente")</f>
        <v>Pagado</v>
      </c>
    </row>
    <row r="1149" spans="1:9" s="10" customFormat="1" hidden="1">
      <c r="A1149" s="9">
        <v>20466</v>
      </c>
      <c r="B1149" s="9">
        <v>11</v>
      </c>
      <c r="C1149" s="13"/>
      <c r="D1149" s="13">
        <v>1144229.9064520644</v>
      </c>
      <c r="E1149" s="13">
        <f>+D1149*0.12</f>
        <v>137307.58877424774</v>
      </c>
      <c r="F1149" s="13">
        <f>+C1149+D1149+E1149</f>
        <v>1281537.4952263122</v>
      </c>
      <c r="G1149" s="11">
        <v>45138</v>
      </c>
      <c r="H1149" s="10" t="s">
        <v>31</v>
      </c>
      <c r="I1149" s="1" t="str">
        <f>IF(G1149&lt;=$K$1,"Pagado","Pendiente")</f>
        <v>Pagado</v>
      </c>
    </row>
    <row r="1150" spans="1:9" s="10" customFormat="1" hidden="1">
      <c r="A1150" s="9">
        <v>20466</v>
      </c>
      <c r="B1150" s="9">
        <v>12</v>
      </c>
      <c r="C1150" s="13"/>
      <c r="D1150" s="13">
        <v>1137691.9501320228</v>
      </c>
      <c r="E1150" s="13">
        <f>+D1150*0.12</f>
        <v>136523.03401584274</v>
      </c>
      <c r="F1150" s="13">
        <f>+C1150+D1150+E1150</f>
        <v>1274214.9841478656</v>
      </c>
      <c r="G1150" s="11">
        <v>45169</v>
      </c>
      <c r="H1150" s="10" t="s">
        <v>31</v>
      </c>
      <c r="I1150" s="1" t="str">
        <f>IF(G1150&lt;=$K$1,"Pagado","Pendiente")</f>
        <v>Pagado</v>
      </c>
    </row>
    <row r="1151" spans="1:9" s="10" customFormat="1" hidden="1">
      <c r="A1151" s="9">
        <v>20466</v>
      </c>
      <c r="B1151" s="9">
        <v>13</v>
      </c>
      <c r="C1151" s="13">
        <v>199063.86</v>
      </c>
      <c r="D1151" s="13">
        <v>1019188.08</v>
      </c>
      <c r="E1151" s="13">
        <f>+D1151*0.12</f>
        <v>122302.56959999999</v>
      </c>
      <c r="F1151" s="13">
        <f>+C1151+D1151+E1151</f>
        <v>1340554.5096</v>
      </c>
      <c r="G1151" s="11">
        <v>45199</v>
      </c>
      <c r="H1151" s="10" t="s">
        <v>31</v>
      </c>
      <c r="I1151" s="1" t="str">
        <f>IF(G1151&lt;=$K$1,"Pagado","Pendiente")</f>
        <v>Pagado</v>
      </c>
    </row>
    <row r="1152" spans="1:9" s="10" customFormat="1" hidden="1">
      <c r="A1152" s="9">
        <v>20466</v>
      </c>
      <c r="B1152" s="9">
        <v>14</v>
      </c>
      <c r="C1152" s="13">
        <v>204135.9</v>
      </c>
      <c r="D1152" s="13">
        <v>1014116.04</v>
      </c>
      <c r="E1152" s="13">
        <f>+D1152*0.12</f>
        <v>121693.92479999999</v>
      </c>
      <c r="F1152" s="13">
        <f>+C1152+D1152+E1152</f>
        <v>1339945.8647999999</v>
      </c>
      <c r="G1152" s="11">
        <v>45230</v>
      </c>
      <c r="H1152" s="10" t="s">
        <v>31</v>
      </c>
      <c r="I1152" s="1" t="str">
        <f>IF(G1152&lt;=$K$1,"Pagado","Pendiente")</f>
        <v>Pagado</v>
      </c>
    </row>
    <row r="1153" spans="1:9" s="10" customFormat="1" hidden="1">
      <c r="A1153" s="9">
        <v>20466</v>
      </c>
      <c r="B1153" s="9">
        <v>15</v>
      </c>
      <c r="C1153" s="13">
        <v>209337.17</v>
      </c>
      <c r="D1153" s="13">
        <v>1015662.63</v>
      </c>
      <c r="E1153" s="13">
        <f>+D1153*0.12</f>
        <v>121879.5156</v>
      </c>
      <c r="F1153" s="13">
        <f>+C1153+D1153+E1153</f>
        <v>1346879.3156000001</v>
      </c>
      <c r="G1153" s="11">
        <v>45260</v>
      </c>
      <c r="H1153" s="10" t="s">
        <v>31</v>
      </c>
      <c r="I1153" s="1" t="str">
        <f>IF(G1153&lt;=$K$1,"Pagado","Pendiente")</f>
        <v>Pagado</v>
      </c>
    </row>
    <row r="1154" spans="1:9" s="10" customFormat="1" hidden="1">
      <c r="A1154" s="9">
        <v>20466</v>
      </c>
      <c r="B1154" s="9">
        <v>16</v>
      </c>
      <c r="C1154" s="13">
        <v>214670.95</v>
      </c>
      <c r="D1154" s="13">
        <v>1003581.01</v>
      </c>
      <c r="E1154" s="13">
        <f>+D1154*0.12</f>
        <v>120429.7212</v>
      </c>
      <c r="F1154" s="13">
        <f>+C1154+D1154+E1154</f>
        <v>1338681.6812</v>
      </c>
      <c r="G1154" s="11">
        <v>45291</v>
      </c>
      <c r="H1154" s="10" t="s">
        <v>31</v>
      </c>
      <c r="I1154" s="1" t="str">
        <f>IF(G1154&lt;=$K$1,"Pagado","Pendiente")</f>
        <v>Pagado</v>
      </c>
    </row>
    <row r="1155" spans="1:9" s="10" customFormat="1" hidden="1">
      <c r="A1155" s="9">
        <v>20466</v>
      </c>
      <c r="B1155" s="9">
        <v>17</v>
      </c>
      <c r="C1155" s="13">
        <v>220140.65</v>
      </c>
      <c r="D1155" s="13">
        <v>998111.28</v>
      </c>
      <c r="E1155" s="13">
        <f>+D1155*0.12</f>
        <v>119773.3536</v>
      </c>
      <c r="F1155" s="13">
        <f>+C1155+D1155+E1155</f>
        <v>1338025.2836</v>
      </c>
      <c r="G1155" s="11">
        <v>45322</v>
      </c>
      <c r="H1155" s="10" t="s">
        <v>31</v>
      </c>
      <c r="I1155" s="1" t="str">
        <f>IF(G1155&lt;=$K$1,"Pagado","Pendiente")</f>
        <v>Pagado</v>
      </c>
    </row>
    <row r="1156" spans="1:9" s="10" customFormat="1" hidden="1">
      <c r="A1156" s="9">
        <v>20466</v>
      </c>
      <c r="B1156" s="9">
        <v>18</v>
      </c>
      <c r="C1156" s="13">
        <v>225749.72</v>
      </c>
      <c r="D1156" s="13">
        <v>992502.21</v>
      </c>
      <c r="E1156" s="13">
        <f>+D1156*0.12</f>
        <v>119100.26519999999</v>
      </c>
      <c r="F1156" s="13">
        <f>+C1156+D1156+E1156</f>
        <v>1337352.1952</v>
      </c>
      <c r="G1156" s="11">
        <v>45351</v>
      </c>
      <c r="H1156" s="10" t="s">
        <v>31</v>
      </c>
      <c r="I1156" s="1" t="str">
        <f>IF(G1156&lt;=$K$1,"Pagado","Pendiente")</f>
        <v>Pagado</v>
      </c>
    </row>
    <row r="1157" spans="1:9" s="10" customFormat="1" hidden="1">
      <c r="A1157" s="9">
        <v>20466</v>
      </c>
      <c r="B1157" s="9">
        <v>19</v>
      </c>
      <c r="C1157" s="13">
        <v>231501.59</v>
      </c>
      <c r="D1157" s="13">
        <v>986750.23</v>
      </c>
      <c r="E1157" s="13">
        <f>+D1157*0.12</f>
        <v>118410.02759999999</v>
      </c>
      <c r="F1157" s="13">
        <f>+C1157+D1157+E1157</f>
        <v>1336661.8476</v>
      </c>
      <c r="G1157" s="11">
        <v>45382</v>
      </c>
      <c r="H1157" s="10" t="s">
        <v>31</v>
      </c>
      <c r="I1157" s="1" t="str">
        <f>IF(G1157&lt;=$K$1,"Pagado","Pendiente")</f>
        <v>Pagado</v>
      </c>
    </row>
    <row r="1158" spans="1:9" s="10" customFormat="1" hidden="1">
      <c r="A1158" s="9">
        <v>20466</v>
      </c>
      <c r="B1158" s="9">
        <v>20</v>
      </c>
      <c r="C1158" s="13">
        <v>237400.22</v>
      </c>
      <c r="D1158" s="13">
        <v>980851.7</v>
      </c>
      <c r="E1158" s="13">
        <f>+D1158*0.12</f>
        <v>117702.20399999998</v>
      </c>
      <c r="F1158" s="13">
        <f>+C1158+D1158+E1158</f>
        <v>1335954.1239999998</v>
      </c>
      <c r="G1158" s="11">
        <v>45412</v>
      </c>
      <c r="H1158" s="10" t="s">
        <v>31</v>
      </c>
      <c r="I1158" s="1" t="str">
        <f>IF(G1158&lt;=$K$1,"Pagado","Pendiente")</f>
        <v>Pagado</v>
      </c>
    </row>
    <row r="1159" spans="1:9" s="10" customFormat="1" hidden="1">
      <c r="A1159" s="9">
        <v>20466</v>
      </c>
      <c r="B1159" s="9">
        <v>21</v>
      </c>
      <c r="C1159" s="13">
        <v>243449.05</v>
      </c>
      <c r="D1159" s="13">
        <v>974802.87</v>
      </c>
      <c r="E1159" s="13">
        <f>+D1159*0.12</f>
        <v>116976.3444</v>
      </c>
      <c r="F1159" s="13">
        <f>+C1159+D1159+E1159</f>
        <v>1335228.2644</v>
      </c>
      <c r="G1159" s="11">
        <v>45443</v>
      </c>
      <c r="H1159" s="10" t="s">
        <v>31</v>
      </c>
      <c r="I1159" s="1" t="str">
        <f>IF(G1159&lt;=$K$1,"Pagado","Pendiente")</f>
        <v>Pagado</v>
      </c>
    </row>
    <row r="1160" spans="1:9" s="10" customFormat="1" hidden="1">
      <c r="A1160" s="9">
        <v>20466</v>
      </c>
      <c r="B1160" s="9">
        <v>22</v>
      </c>
      <c r="C1160" s="13">
        <v>249651.99</v>
      </c>
      <c r="D1160" s="13">
        <v>968599.92</v>
      </c>
      <c r="E1160" s="13">
        <f>+D1160*0.12</f>
        <v>116231.9904</v>
      </c>
      <c r="F1160" s="13">
        <f>+C1160+D1160+E1160</f>
        <v>1334483.9004000002</v>
      </c>
      <c r="G1160" s="11">
        <v>45473</v>
      </c>
      <c r="H1160" s="10" t="s">
        <v>31</v>
      </c>
      <c r="I1160" s="1" t="str">
        <f>IF(G1160&lt;=$K$1,"Pagado","Pendiente")</f>
        <v>Pagado</v>
      </c>
    </row>
    <row r="1161" spans="1:9" s="10" customFormat="1" hidden="1">
      <c r="A1161" s="9">
        <v>20466</v>
      </c>
      <c r="B1161" s="9">
        <v>23</v>
      </c>
      <c r="C1161" s="13">
        <v>256012.98</v>
      </c>
      <c r="D1161" s="13">
        <v>962228.93</v>
      </c>
      <c r="E1161" s="13">
        <f>+D1161*0.12</f>
        <v>115467.4716</v>
      </c>
      <c r="F1161" s="13">
        <f>+C1161+D1161+E1161</f>
        <v>1333709.3816000002</v>
      </c>
      <c r="G1161" s="11">
        <v>45504</v>
      </c>
      <c r="H1161" s="10" t="s">
        <v>31</v>
      </c>
      <c r="I1161" s="1" t="str">
        <f>IF(G1161&lt;=$K$1,"Pagado","Pendiente")</f>
        <v>Pagado</v>
      </c>
    </row>
    <row r="1162" spans="1:9" s="10" customFormat="1" hidden="1">
      <c r="A1162" s="9">
        <v>20466</v>
      </c>
      <c r="B1162" s="9">
        <v>24</v>
      </c>
      <c r="C1162" s="13">
        <v>262536.05</v>
      </c>
      <c r="D1162" s="13">
        <v>955715.86</v>
      </c>
      <c r="E1162" s="13">
        <f>+D1162*0.12</f>
        <v>114685.9032</v>
      </c>
      <c r="F1162" s="13">
        <f>+C1162+D1162+E1162</f>
        <v>1332937.8132</v>
      </c>
      <c r="G1162" s="11">
        <v>45535</v>
      </c>
      <c r="H1162" s="10" t="s">
        <v>31</v>
      </c>
      <c r="I1162" s="1" t="str">
        <f>IF(G1162&lt;=$K$1,"Pagado","Pendiente")</f>
        <v>Pagado</v>
      </c>
    </row>
    <row r="1163" spans="1:9" s="10" customFormat="1" hidden="1">
      <c r="A1163" s="9">
        <v>20466</v>
      </c>
      <c r="B1163" s="9">
        <v>25</v>
      </c>
      <c r="C1163" s="13">
        <v>239003.26</v>
      </c>
      <c r="D1163" s="13">
        <v>1071470.33</v>
      </c>
      <c r="E1163" s="13">
        <f>+D1163*0.12</f>
        <v>128576.4396</v>
      </c>
      <c r="F1163" s="13">
        <f>+C1163+D1163+E1163</f>
        <v>1439050.0296</v>
      </c>
      <c r="G1163" s="11">
        <v>45565</v>
      </c>
      <c r="H1163" s="10" t="s">
        <v>31</v>
      </c>
      <c r="I1163" s="1" t="str">
        <f>IF(G1163&lt;=$K$1,"Pagado","Pendiente")</f>
        <v>Pagado</v>
      </c>
    </row>
    <row r="1164" spans="1:9" s="10" customFormat="1" hidden="1">
      <c r="A1164" s="9">
        <v>20466</v>
      </c>
      <c r="B1164" s="9">
        <v>26</v>
      </c>
      <c r="C1164" s="13">
        <v>245878.7</v>
      </c>
      <c r="D1164" s="13">
        <v>1064604.8899999999</v>
      </c>
      <c r="E1164" s="13">
        <f>+D1164*0.12</f>
        <v>127752.58679999999</v>
      </c>
      <c r="F1164" s="13">
        <f>+C1164+D1164+E1164</f>
        <v>1438236.1767999998</v>
      </c>
      <c r="G1164" s="11">
        <v>45596</v>
      </c>
      <c r="H1164" s="10" t="s">
        <v>31</v>
      </c>
      <c r="I1164" s="1" t="str">
        <f>IF(G1164&lt;=$K$1,"Pagado","Pendiente")</f>
        <v>Pagado</v>
      </c>
    </row>
    <row r="1165" spans="1:9" s="10" customFormat="1" hidden="1">
      <c r="A1165" s="9">
        <v>20466</v>
      </c>
      <c r="B1165" s="9">
        <v>27</v>
      </c>
      <c r="C1165" s="13">
        <v>252951.91</v>
      </c>
      <c r="D1165" s="13">
        <v>1057531.67</v>
      </c>
      <c r="E1165" s="13">
        <f>+D1165*0.12</f>
        <v>126903.80039999999</v>
      </c>
      <c r="F1165" s="13">
        <f>+C1165+D1165+E1165</f>
        <v>1437387.3803999999</v>
      </c>
      <c r="G1165" s="11">
        <v>45626</v>
      </c>
      <c r="H1165" s="10" t="s">
        <v>31</v>
      </c>
      <c r="I1165" s="1" t="str">
        <f>IF(G1165&lt;=$K$1,"Pagado","Pendiente")</f>
        <v>Pagado</v>
      </c>
    </row>
    <row r="1166" spans="1:9" s="10" customFormat="1" hidden="1">
      <c r="A1166" s="9">
        <v>20466</v>
      </c>
      <c r="B1166" s="9">
        <v>28</v>
      </c>
      <c r="C1166" s="13">
        <v>260228.61</v>
      </c>
      <c r="D1166" s="13">
        <v>1050254.97</v>
      </c>
      <c r="E1166" s="13">
        <f>+D1166*0.12</f>
        <v>126030.59639999999</v>
      </c>
      <c r="F1166" s="13">
        <f>+C1166+D1166+E1166</f>
        <v>1436514.1764</v>
      </c>
      <c r="G1166" s="11">
        <v>45657</v>
      </c>
      <c r="H1166" s="10" t="s">
        <v>31</v>
      </c>
      <c r="I1166" s="1" t="str">
        <f>IF(G1166&lt;=$K$1,"Pagado","Pendiente")</f>
        <v>Pagado</v>
      </c>
    </row>
    <row r="1167" spans="1:9" s="10" customFormat="1" hidden="1">
      <c r="A1167" s="9">
        <v>20466</v>
      </c>
      <c r="B1167" s="9">
        <v>29</v>
      </c>
      <c r="C1167" s="13">
        <v>267714.64</v>
      </c>
      <c r="D1167" s="13">
        <v>1042758.94</v>
      </c>
      <c r="E1167" s="13">
        <f>+D1167*0.12</f>
        <v>125131.07279999999</v>
      </c>
      <c r="F1167" s="13">
        <f>+C1167+D1167+E1167</f>
        <v>1435604.6528</v>
      </c>
      <c r="G1167" s="11">
        <v>45688</v>
      </c>
      <c r="H1167" s="10" t="s">
        <v>31</v>
      </c>
      <c r="I1167" s="1" t="str">
        <f>IF(G1167&lt;=$K$1,"Pagado","Pendiente")</f>
        <v>Pagado</v>
      </c>
    </row>
    <row r="1168" spans="1:9" s="10" customFormat="1" hidden="1">
      <c r="A1168" s="9">
        <v>20466</v>
      </c>
      <c r="B1168" s="9">
        <v>30</v>
      </c>
      <c r="C1168" s="13">
        <v>275416.01</v>
      </c>
      <c r="D1168" s="13">
        <v>1035057.56</v>
      </c>
      <c r="E1168" s="13">
        <f>+D1168*0.12</f>
        <v>124206.9072</v>
      </c>
      <c r="F1168" s="13">
        <f>+C1168+D1168+E1168</f>
        <v>1434680.4772000001</v>
      </c>
      <c r="G1168" s="11">
        <v>45716</v>
      </c>
      <c r="H1168" s="10" t="s">
        <v>31</v>
      </c>
      <c r="I1168" s="1" t="str">
        <f>IF(G1168&lt;=$K$1,"Pagado","Pendiente")</f>
        <v>Pagado</v>
      </c>
    </row>
    <row r="1169" spans="1:9" s="10" customFormat="1" hidden="1">
      <c r="A1169" s="9">
        <v>20466</v>
      </c>
      <c r="B1169" s="9">
        <v>31</v>
      </c>
      <c r="C1169" s="13">
        <v>283338.94</v>
      </c>
      <c r="D1169" s="13">
        <v>1027134.63</v>
      </c>
      <c r="E1169" s="13">
        <f>+D1169*0.12</f>
        <v>123256.1556</v>
      </c>
      <c r="F1169" s="13">
        <f>+C1169+D1169+E1169</f>
        <v>1433729.7256</v>
      </c>
      <c r="G1169" s="11">
        <v>45747</v>
      </c>
      <c r="H1169" s="10" t="s">
        <v>31</v>
      </c>
      <c r="I1169" s="1" t="str">
        <f>IF(G1169&lt;=$K$1,"Pagado","Pendiente")</f>
        <v>Pagado</v>
      </c>
    </row>
    <row r="1170" spans="1:9" hidden="1">
      <c r="A1170" s="2">
        <v>20466</v>
      </c>
      <c r="B1170" s="2">
        <v>32</v>
      </c>
      <c r="C1170" s="8">
        <v>405417.488408242</v>
      </c>
      <c r="D1170" s="8">
        <v>956744.29537854379</v>
      </c>
      <c r="E1170" s="8">
        <f>+D1170*0.12</f>
        <v>114809.31544542525</v>
      </c>
      <c r="F1170" s="8">
        <f>+C1170+D1170+E1170</f>
        <v>1476971.099232211</v>
      </c>
      <c r="G1170" s="7">
        <v>45777</v>
      </c>
      <c r="H1170" s="1" t="s">
        <v>31</v>
      </c>
      <c r="I1170" s="1" t="str">
        <f>IF(G1170&lt;=$K$1,"Pagado","Pendiente")</f>
        <v>Pagado</v>
      </c>
    </row>
    <row r="1171" spans="1:9" s="10" customFormat="1" hidden="1">
      <c r="A1171" s="9">
        <v>20466</v>
      </c>
      <c r="B1171" s="9">
        <v>33</v>
      </c>
      <c r="C1171" s="13">
        <v>417580.01306048932</v>
      </c>
      <c r="D1171" s="13">
        <v>944581.77072629647</v>
      </c>
      <c r="E1171" s="13">
        <f>+D1171*0.12</f>
        <v>113349.81248715558</v>
      </c>
      <c r="F1171" s="13">
        <f>+C1171+D1171+E1171</f>
        <v>1475511.5962739415</v>
      </c>
      <c r="G1171" s="11">
        <v>45808</v>
      </c>
      <c r="H1171" s="10" t="s">
        <v>31</v>
      </c>
      <c r="I1171" s="1" t="str">
        <f>IF(G1171&lt;=$K$1,"Pagado","Pendiente")</f>
        <v>Pagado</v>
      </c>
    </row>
    <row r="1172" spans="1:9" hidden="1">
      <c r="A1172" s="2">
        <v>20466</v>
      </c>
      <c r="B1172" s="2">
        <v>34</v>
      </c>
      <c r="C1172" s="8">
        <v>430107.41345230397</v>
      </c>
      <c r="D1172" s="8">
        <v>932054.37033448182</v>
      </c>
      <c r="E1172" s="8">
        <f>+D1172*0.12</f>
        <v>111846.52444013781</v>
      </c>
      <c r="F1172" s="8">
        <f>+C1172+D1172+E1172</f>
        <v>1474008.3082269237</v>
      </c>
      <c r="G1172" s="7">
        <v>45838</v>
      </c>
      <c r="H1172" s="1" t="s">
        <v>31</v>
      </c>
      <c r="I1172" s="1" t="str">
        <f>IF(G1172&lt;=$K$1,"Pagado","Pendiente")</f>
        <v>Pagado</v>
      </c>
    </row>
    <row r="1173" spans="1:9" hidden="1">
      <c r="A1173" s="2">
        <v>20466</v>
      </c>
      <c r="B1173" s="2">
        <v>35</v>
      </c>
      <c r="C1173" s="8">
        <v>443010.63585587312</v>
      </c>
      <c r="D1173" s="8">
        <v>919151.14793091267</v>
      </c>
      <c r="E1173" s="8">
        <f>+D1173*0.12</f>
        <v>110298.13775170951</v>
      </c>
      <c r="F1173" s="8">
        <f>+C1173+D1173+E1173</f>
        <v>1472459.9215384952</v>
      </c>
      <c r="G1173" s="7">
        <v>45869</v>
      </c>
      <c r="H1173" s="1" t="s">
        <v>31</v>
      </c>
      <c r="I1173" s="1" t="str">
        <f>IF(G1173&lt;=$K$1,"Pagado","Pendiente")</f>
        <v>Pagado</v>
      </c>
    </row>
    <row r="1174" spans="1:9" hidden="1">
      <c r="A1174" s="2">
        <v>347916</v>
      </c>
      <c r="B1174" s="2">
        <v>54</v>
      </c>
      <c r="C1174" s="8">
        <v>5538820.5332289916</v>
      </c>
      <c r="D1174" s="8">
        <v>2914363.2350304346</v>
      </c>
      <c r="E1174" s="8">
        <v>349723.58820365212</v>
      </c>
      <c r="F1174" s="8">
        <v>8802907.3564630784</v>
      </c>
      <c r="G1174" s="7">
        <v>47114</v>
      </c>
      <c r="H1174" s="1" t="s">
        <v>30</v>
      </c>
      <c r="I1174" s="1" t="str">
        <f>IF(G1174&lt;=$K$1,"Pagado","Pendiente")</f>
        <v>Pendiente</v>
      </c>
    </row>
    <row r="1175" spans="1:9" hidden="1">
      <c r="A1175" s="2">
        <v>843950300</v>
      </c>
      <c r="B1175" s="2">
        <v>51</v>
      </c>
      <c r="C1175" s="8">
        <v>5902313.1299999999</v>
      </c>
      <c r="D1175" s="8">
        <v>1873056.27</v>
      </c>
      <c r="E1175" s="8">
        <f>+F1175-D1175-C1175</f>
        <v>224766.75000000093</v>
      </c>
      <c r="F1175" s="8">
        <v>8000136.1500000004</v>
      </c>
      <c r="G1175" s="7">
        <v>47114</v>
      </c>
      <c r="H1175" s="1" t="s">
        <v>24</v>
      </c>
      <c r="I1175" s="1" t="str">
        <f>IF(G1175&lt;=$K$1,"Pagado","Pendiente")</f>
        <v>Pendiente</v>
      </c>
    </row>
    <row r="1176" spans="1:9" hidden="1">
      <c r="A1176" s="2">
        <v>31295</v>
      </c>
      <c r="B1176" s="2">
        <v>48</v>
      </c>
      <c r="C1176" s="8">
        <v>5102394.49</v>
      </c>
      <c r="D1176" s="8">
        <v>2157625.73</v>
      </c>
      <c r="E1176" s="8">
        <v>258915.09</v>
      </c>
      <c r="F1176" s="8">
        <v>7518935.3099999996</v>
      </c>
      <c r="G1176" s="7">
        <v>47114</v>
      </c>
      <c r="H1176" s="1" t="s">
        <v>35</v>
      </c>
      <c r="I1176" s="1" t="str">
        <f>IF(G1176&lt;=$K$1,"Pagado","Pendiente")</f>
        <v>Pendiente</v>
      </c>
    </row>
    <row r="1177" spans="1:9" hidden="1">
      <c r="A1177" s="2">
        <v>66235635</v>
      </c>
      <c r="B1177" s="2">
        <v>54</v>
      </c>
      <c r="C1177" s="8">
        <v>7916666.6699999999</v>
      </c>
      <c r="D1177" s="8">
        <v>1100742.01</v>
      </c>
      <c r="E1177" s="8">
        <v>132089.04000000097</v>
      </c>
      <c r="F1177" s="8">
        <v>9149497.7200000007</v>
      </c>
      <c r="G1177" s="7">
        <v>47120</v>
      </c>
      <c r="H1177" s="1" t="s">
        <v>26</v>
      </c>
      <c r="I1177" s="1" t="str">
        <f>IF(G1177&lt;=$K$1,"Pagado","Pendiente")</f>
        <v>Pendiente</v>
      </c>
    </row>
    <row r="1178" spans="1:9" hidden="1">
      <c r="A1178" s="2">
        <v>22044</v>
      </c>
      <c r="B1178" s="2">
        <v>65</v>
      </c>
      <c r="C1178" s="8">
        <v>2156664.3315846436</v>
      </c>
      <c r="D1178" s="8">
        <v>575333.51926260453</v>
      </c>
      <c r="E1178" s="8">
        <v>69040.022311512541</v>
      </c>
      <c r="F1178" s="8">
        <v>2801037.8731587608</v>
      </c>
      <c r="G1178" s="7">
        <v>47120</v>
      </c>
      <c r="H1178" s="1" t="s">
        <v>31</v>
      </c>
      <c r="I1178" s="1" t="str">
        <f>IF(G1178&lt;=$K$1,"Pagado","Pendiente")</f>
        <v>Pendiente</v>
      </c>
    </row>
    <row r="1179" spans="1:9" hidden="1">
      <c r="A1179" s="2">
        <v>119980</v>
      </c>
      <c r="B1179" s="2">
        <v>50</v>
      </c>
      <c r="C1179" s="8">
        <v>14166666.67</v>
      </c>
      <c r="D1179" s="8">
        <v>4235251.1399999997</v>
      </c>
      <c r="E1179" s="8">
        <f>+F1179-D1179-C1179</f>
        <v>508230.13999999873</v>
      </c>
      <c r="F1179" s="8">
        <v>18910147.949999999</v>
      </c>
      <c r="G1179" s="7">
        <v>47122</v>
      </c>
      <c r="H1179" s="1" t="s">
        <v>26</v>
      </c>
      <c r="I1179" s="1" t="str">
        <f>IF(G1179&lt;=$K$1,"Pagado","Pendiente")</f>
        <v>Pendiente</v>
      </c>
    </row>
    <row r="1180" spans="1:9" hidden="1">
      <c r="A1180" s="2">
        <v>23996</v>
      </c>
      <c r="B1180" s="2">
        <v>42</v>
      </c>
      <c r="C1180" s="8">
        <v>2795126.99</v>
      </c>
      <c r="D1180" s="8">
        <v>7761674.9400000004</v>
      </c>
      <c r="E1180" s="8">
        <v>932177.16</v>
      </c>
      <c r="F1180" s="8">
        <f>+C1180+D1180+E1180</f>
        <v>11488979.09</v>
      </c>
      <c r="G1180" s="7">
        <v>47131</v>
      </c>
      <c r="H1180" s="1" t="s">
        <v>31</v>
      </c>
      <c r="I1180" s="1" t="str">
        <f>IF(G1180&lt;=$K$1,"Pagado","Pendiente")</f>
        <v>Pendiente</v>
      </c>
    </row>
    <row r="1181" spans="1:9" hidden="1">
      <c r="A1181" s="2">
        <v>927328</v>
      </c>
      <c r="B1181" s="2">
        <v>51</v>
      </c>
      <c r="C1181" s="8">
        <v>10982434.837367052</v>
      </c>
      <c r="D1181" s="8">
        <v>3064584.8060988695</v>
      </c>
      <c r="E1181" s="8">
        <v>367750.17673186434</v>
      </c>
      <c r="F1181" s="8">
        <v>14414769.820197785</v>
      </c>
      <c r="G1181" s="7">
        <v>47135</v>
      </c>
      <c r="H1181" s="1" t="s">
        <v>32</v>
      </c>
      <c r="I1181" s="1" t="str">
        <f>IF(G1181&lt;=$K$1,"Pagado","Pendiente")</f>
        <v>Pendiente</v>
      </c>
    </row>
    <row r="1182" spans="1:9" hidden="1">
      <c r="A1182" s="2">
        <v>75472831</v>
      </c>
      <c r="B1182" s="2">
        <v>51</v>
      </c>
      <c r="C1182" s="8">
        <v>2083333.33</v>
      </c>
      <c r="D1182" s="8">
        <v>547945.21</v>
      </c>
      <c r="E1182" s="8">
        <f>+F1182-D1182-C1182</f>
        <v>65753.430000000168</v>
      </c>
      <c r="F1182" s="8">
        <v>2697031.97</v>
      </c>
      <c r="G1182" s="7">
        <v>47135</v>
      </c>
      <c r="H1182" s="1" t="s">
        <v>26</v>
      </c>
      <c r="I1182" s="1" t="str">
        <f>IF(G1182&lt;=$K$1,"Pagado","Pendiente")</f>
        <v>Pendiente</v>
      </c>
    </row>
    <row r="1183" spans="1:9" hidden="1">
      <c r="A1183" s="2">
        <v>863502400</v>
      </c>
      <c r="B1183" s="2">
        <v>49</v>
      </c>
      <c r="C1183" s="8">
        <v>7171855.5599999996</v>
      </c>
      <c r="D1183" s="8">
        <v>2849731.67</v>
      </c>
      <c r="E1183" s="8">
        <v>341967.81</v>
      </c>
      <c r="F1183" s="8">
        <v>10363555.039999999</v>
      </c>
      <c r="G1183" s="7">
        <v>47135</v>
      </c>
      <c r="H1183" s="1" t="s">
        <v>24</v>
      </c>
      <c r="I1183" s="1" t="str">
        <f>IF(G1183&lt;=$K$1,"Pagado","Pendiente")</f>
        <v>Pendiente</v>
      </c>
    </row>
    <row r="1184" spans="1:9" hidden="1">
      <c r="A1184" s="2">
        <v>863502600</v>
      </c>
      <c r="B1184" s="2">
        <v>49</v>
      </c>
      <c r="C1184" s="8">
        <v>3709580.45</v>
      </c>
      <c r="D1184" s="8">
        <v>1473999.15</v>
      </c>
      <c r="E1184" s="8">
        <v>176879.9</v>
      </c>
      <c r="F1184" s="8">
        <v>5360459.5</v>
      </c>
      <c r="G1184" s="7">
        <v>47135</v>
      </c>
      <c r="H1184" s="1" t="s">
        <v>24</v>
      </c>
      <c r="I1184" s="1" t="str">
        <f>IF(G1184&lt;=$K$1,"Pagado","Pendiente")</f>
        <v>Pendiente</v>
      </c>
    </row>
    <row r="1185" spans="1:9" hidden="1">
      <c r="A1185" s="2">
        <v>24004</v>
      </c>
      <c r="B1185" s="2">
        <v>42</v>
      </c>
      <c r="C1185" s="8">
        <v>3082126.1</v>
      </c>
      <c r="D1185" s="8">
        <v>2692383.47</v>
      </c>
      <c r="E1185" s="8">
        <v>323355.25</v>
      </c>
      <c r="F1185" s="8">
        <v>6097864.8200000003</v>
      </c>
      <c r="G1185" s="7">
        <v>47135</v>
      </c>
      <c r="H1185" s="1" t="s">
        <v>31</v>
      </c>
      <c r="I1185" s="1" t="str">
        <f>IF(G1185&lt;=$K$1,"Pagado","Pendiente")</f>
        <v>Pendiente</v>
      </c>
    </row>
    <row r="1186" spans="1:9" hidden="1">
      <c r="A1186" s="2">
        <v>65210751</v>
      </c>
      <c r="B1186" s="2">
        <v>55</v>
      </c>
      <c r="C1186" s="8">
        <v>8958333.3300000001</v>
      </c>
      <c r="D1186" s="8">
        <v>1141267.1299999999</v>
      </c>
      <c r="E1186" s="8">
        <v>136952.06000000052</v>
      </c>
      <c r="F1186" s="8">
        <v>10236552.52</v>
      </c>
      <c r="G1186" s="7">
        <v>47136</v>
      </c>
      <c r="H1186" s="1" t="s">
        <v>26</v>
      </c>
      <c r="I1186" s="1" t="str">
        <f>IF(G1186&lt;=$K$1,"Pagado","Pendiente")</f>
        <v>Pendiente</v>
      </c>
    </row>
    <row r="1187" spans="1:9" hidden="1">
      <c r="A1187" s="2">
        <v>23430</v>
      </c>
      <c r="B1187" s="2">
        <v>54</v>
      </c>
      <c r="C1187" s="8">
        <v>1683662.92</v>
      </c>
      <c r="D1187" s="8">
        <v>2905761.33</v>
      </c>
      <c r="E1187" s="8">
        <v>348691.36</v>
      </c>
      <c r="F1187" s="8">
        <v>4938115.6100000003</v>
      </c>
      <c r="G1187" s="7">
        <v>47137</v>
      </c>
      <c r="H1187" s="1" t="s">
        <v>31</v>
      </c>
      <c r="I1187" s="1" t="str">
        <f>IF(G1187&lt;=$K$1,"Pagado","Pendiente")</f>
        <v>Pendiente</v>
      </c>
    </row>
    <row r="1188" spans="1:9" hidden="1">
      <c r="A1188" s="2">
        <v>23467</v>
      </c>
      <c r="B1188" s="2">
        <v>53</v>
      </c>
      <c r="C1188" s="8">
        <v>6313736.04</v>
      </c>
      <c r="D1188" s="8">
        <v>10896604.92</v>
      </c>
      <c r="E1188" s="8">
        <v>1307592.5900000001</v>
      </c>
      <c r="F1188" s="8">
        <v>18517933.550000001</v>
      </c>
      <c r="G1188" s="7">
        <v>47137</v>
      </c>
      <c r="H1188" s="1" t="s">
        <v>31</v>
      </c>
      <c r="I1188" s="1" t="str">
        <f>IF(G1188&lt;=$K$1,"Pagado","Pendiente")</f>
        <v>Pendiente</v>
      </c>
    </row>
    <row r="1189" spans="1:9" hidden="1">
      <c r="A1189" s="2">
        <v>394949</v>
      </c>
      <c r="B1189" s="2">
        <v>49</v>
      </c>
      <c r="C1189" s="8">
        <v>2509237.1</v>
      </c>
      <c r="D1189" s="8">
        <v>2397080.19</v>
      </c>
      <c r="E1189" s="8">
        <v>287649.61</v>
      </c>
      <c r="F1189" s="8">
        <v>5193966.9000000004</v>
      </c>
      <c r="G1189" s="7">
        <v>47144</v>
      </c>
      <c r="H1189" s="1" t="s">
        <v>30</v>
      </c>
      <c r="I1189" s="1" t="str">
        <f>IF(G1189&lt;=$K$1,"Pagado","Pendiente")</f>
        <v>Pendiente</v>
      </c>
    </row>
    <row r="1190" spans="1:9" hidden="1">
      <c r="A1190" s="2">
        <v>347916</v>
      </c>
      <c r="B1190" s="2">
        <v>55</v>
      </c>
      <c r="C1190" s="8">
        <v>5663443.995226644</v>
      </c>
      <c r="D1190" s="8">
        <v>2789739.7730327821</v>
      </c>
      <c r="E1190" s="8">
        <v>334768.77276393387</v>
      </c>
      <c r="F1190" s="8">
        <v>8787952.5410233606</v>
      </c>
      <c r="G1190" s="7">
        <v>47145</v>
      </c>
      <c r="H1190" s="1" t="s">
        <v>30</v>
      </c>
      <c r="I1190" s="1" t="str">
        <f>IF(G1190&lt;=$K$1,"Pagado","Pendiente")</f>
        <v>Pendiente</v>
      </c>
    </row>
    <row r="1191" spans="1:9" hidden="1">
      <c r="A1191" s="2">
        <v>843950300</v>
      </c>
      <c r="B1191" s="2">
        <v>52</v>
      </c>
      <c r="C1191" s="8">
        <v>6067253.2699999996</v>
      </c>
      <c r="D1191" s="8">
        <v>1708116.13</v>
      </c>
      <c r="E1191" s="8">
        <f>+F1191-D1191-C1191</f>
        <v>204973.93000000063</v>
      </c>
      <c r="F1191" s="8">
        <v>7980343.3300000001</v>
      </c>
      <c r="G1191" s="7">
        <v>47145</v>
      </c>
      <c r="H1191" s="1" t="s">
        <v>24</v>
      </c>
      <c r="I1191" s="1" t="str">
        <f>IF(G1191&lt;=$K$1,"Pagado","Pendiente")</f>
        <v>Pendiente</v>
      </c>
    </row>
    <row r="1192" spans="1:9" hidden="1">
      <c r="A1192" s="2">
        <v>31295</v>
      </c>
      <c r="B1192" s="2">
        <v>49</v>
      </c>
      <c r="C1192" s="8">
        <v>5242710.34</v>
      </c>
      <c r="D1192" s="8">
        <v>2017309.88</v>
      </c>
      <c r="E1192" s="8">
        <v>242077.19</v>
      </c>
      <c r="F1192" s="8">
        <v>7502097.4100000001</v>
      </c>
      <c r="G1192" s="7">
        <v>47145</v>
      </c>
      <c r="H1192" s="1" t="s">
        <v>35</v>
      </c>
      <c r="I1192" s="1" t="str">
        <f>IF(G1192&lt;=$K$1,"Pagado","Pendiente")</f>
        <v>Pendiente</v>
      </c>
    </row>
    <row r="1193" spans="1:9" hidden="1">
      <c r="A1193" s="2">
        <v>66235635</v>
      </c>
      <c r="B1193" s="2">
        <v>55</v>
      </c>
      <c r="C1193" s="8">
        <v>7916666.6699999999</v>
      </c>
      <c r="D1193" s="8">
        <v>1008561.64</v>
      </c>
      <c r="E1193" s="8">
        <v>121027.38999999966</v>
      </c>
      <c r="F1193" s="8">
        <v>9046255.6999999993</v>
      </c>
      <c r="G1193" s="7">
        <v>47151</v>
      </c>
      <c r="H1193" s="1" t="s">
        <v>26</v>
      </c>
      <c r="I1193" s="1" t="str">
        <f>IF(G1193&lt;=$K$1,"Pagado","Pendiente")</f>
        <v>Pendiente</v>
      </c>
    </row>
    <row r="1194" spans="1:9" hidden="1">
      <c r="A1194" s="2">
        <v>22044</v>
      </c>
      <c r="B1194" s="2">
        <v>66</v>
      </c>
      <c r="C1194" s="8">
        <v>2221364.2615321828</v>
      </c>
      <c r="D1194" s="8">
        <v>510633.58931506524</v>
      </c>
      <c r="E1194" s="8">
        <v>61276.030717807829</v>
      </c>
      <c r="F1194" s="8">
        <v>2793273.8815650558</v>
      </c>
      <c r="G1194" s="7">
        <v>47151</v>
      </c>
      <c r="H1194" s="1" t="s">
        <v>31</v>
      </c>
      <c r="I1194" s="1" t="str">
        <f>IF(G1194&lt;=$K$1,"Pagado","Pendiente")</f>
        <v>Pendiente</v>
      </c>
    </row>
    <row r="1195" spans="1:9" hidden="1">
      <c r="A1195" s="2">
        <v>119980</v>
      </c>
      <c r="B1195" s="2">
        <v>51</v>
      </c>
      <c r="C1195" s="8">
        <v>14166666.67</v>
      </c>
      <c r="D1195" s="8">
        <v>3974429.22</v>
      </c>
      <c r="E1195" s="8">
        <f>+F1195-D1195-C1195</f>
        <v>476931.50999999791</v>
      </c>
      <c r="F1195" s="8">
        <v>18618027.399999999</v>
      </c>
      <c r="G1195" s="7">
        <v>47153</v>
      </c>
      <c r="H1195" s="1" t="s">
        <v>26</v>
      </c>
      <c r="I1195" s="1" t="str">
        <f>IF(G1195&lt;=$K$1,"Pagado","Pendiente")</f>
        <v>Pendiente</v>
      </c>
    </row>
    <row r="1196" spans="1:9" hidden="1">
      <c r="A1196" s="2">
        <v>23996</v>
      </c>
      <c r="B1196" s="2">
        <v>43</v>
      </c>
      <c r="C1196" s="8">
        <v>2882857.6</v>
      </c>
      <c r="D1196" s="8">
        <v>7673944.3300000001</v>
      </c>
      <c r="E1196" s="8">
        <v>921640.7</v>
      </c>
      <c r="F1196" s="8">
        <f>+C1196+D1196+E1196</f>
        <v>11478442.629999999</v>
      </c>
      <c r="G1196" s="7">
        <v>47162</v>
      </c>
      <c r="H1196" s="1" t="s">
        <v>31</v>
      </c>
      <c r="I1196" s="1" t="str">
        <f>IF(G1196&lt;=$K$1,"Pagado","Pendiente")</f>
        <v>Pendiente</v>
      </c>
    </row>
    <row r="1197" spans="1:9" hidden="1">
      <c r="A1197" s="2">
        <v>927328</v>
      </c>
      <c r="B1197" s="2">
        <v>52</v>
      </c>
      <c r="C1197" s="8">
        <v>11256080.505398113</v>
      </c>
      <c r="D1197" s="8">
        <v>2790939.1380678071</v>
      </c>
      <c r="E1197" s="8">
        <v>334912.69656813686</v>
      </c>
      <c r="F1197" s="8">
        <v>14381932.340034056</v>
      </c>
      <c r="G1197" s="7">
        <v>47166</v>
      </c>
      <c r="H1197" s="1" t="s">
        <v>32</v>
      </c>
      <c r="I1197" s="1" t="str">
        <f>IF(G1197&lt;=$K$1,"Pagado","Pendiente")</f>
        <v>Pendiente</v>
      </c>
    </row>
    <row r="1198" spans="1:9" hidden="1">
      <c r="A1198" s="2">
        <v>75472831</v>
      </c>
      <c r="B1198" s="2">
        <v>52</v>
      </c>
      <c r="C1198" s="8">
        <v>2083333.33</v>
      </c>
      <c r="D1198" s="8">
        <v>542465.76</v>
      </c>
      <c r="E1198" s="8">
        <f>+F1198-D1198-C1198</f>
        <v>65095.889999999665</v>
      </c>
      <c r="F1198" s="8">
        <v>2690894.98</v>
      </c>
      <c r="G1198" s="7">
        <v>47166</v>
      </c>
      <c r="H1198" s="1" t="s">
        <v>26</v>
      </c>
      <c r="I1198" s="1" t="str">
        <f>IF(G1198&lt;=$K$1,"Pagado","Pendiente")</f>
        <v>Pendiente</v>
      </c>
    </row>
    <row r="1199" spans="1:9" hidden="1">
      <c r="A1199" s="2">
        <v>863502400</v>
      </c>
      <c r="B1199" s="2">
        <v>50</v>
      </c>
      <c r="C1199" s="8">
        <v>7372273.0599999996</v>
      </c>
      <c r="D1199" s="8">
        <v>2649314.17</v>
      </c>
      <c r="E1199" s="8">
        <v>317917.7</v>
      </c>
      <c r="F1199" s="8">
        <v>10339504.93</v>
      </c>
      <c r="G1199" s="7">
        <v>47166</v>
      </c>
      <c r="H1199" s="1" t="s">
        <v>24</v>
      </c>
      <c r="I1199" s="1" t="str">
        <f>IF(G1199&lt;=$K$1,"Pagado","Pendiente")</f>
        <v>Pendiente</v>
      </c>
    </row>
    <row r="1200" spans="1:9" hidden="1">
      <c r="A1200" s="2">
        <v>863502600</v>
      </c>
      <c r="B1200" s="2">
        <v>50</v>
      </c>
      <c r="C1200" s="8">
        <v>3813244.68</v>
      </c>
      <c r="D1200" s="8">
        <v>1370334.92</v>
      </c>
      <c r="E1200" s="8">
        <v>164440.19</v>
      </c>
      <c r="F1200" s="8">
        <v>5348019.79</v>
      </c>
      <c r="G1200" s="7">
        <v>47166</v>
      </c>
      <c r="H1200" s="1" t="s">
        <v>24</v>
      </c>
      <c r="I1200" s="1" t="str">
        <f>IF(G1200&lt;=$K$1,"Pagado","Pendiente")</f>
        <v>Pendiente</v>
      </c>
    </row>
    <row r="1201" spans="1:9" hidden="1">
      <c r="A1201" s="2">
        <v>24004</v>
      </c>
      <c r="B1201" s="2">
        <v>43</v>
      </c>
      <c r="C1201" s="8">
        <v>3185672.86</v>
      </c>
      <c r="D1201" s="8">
        <v>2588836.71</v>
      </c>
      <c r="E1201" s="8">
        <v>310919.28000000003</v>
      </c>
      <c r="F1201" s="8">
        <v>6085428.8499999996</v>
      </c>
      <c r="G1201" s="7">
        <v>47166</v>
      </c>
      <c r="H1201" s="1" t="s">
        <v>31</v>
      </c>
      <c r="I1201" s="1" t="str">
        <f>IF(G1201&lt;=$K$1,"Pagado","Pendiente")</f>
        <v>Pendiente</v>
      </c>
    </row>
    <row r="1202" spans="1:9" hidden="1">
      <c r="A1202" s="2">
        <v>65210751</v>
      </c>
      <c r="B1202" s="2">
        <v>56</v>
      </c>
      <c r="C1202" s="8">
        <v>8958333.3300000001</v>
      </c>
      <c r="D1202" s="8">
        <v>981735.16</v>
      </c>
      <c r="E1202" s="8">
        <v>117808.22000000067</v>
      </c>
      <c r="F1202" s="8">
        <v>10057876.710000001</v>
      </c>
      <c r="G1202" s="7">
        <v>47167</v>
      </c>
      <c r="H1202" s="1" t="s">
        <v>26</v>
      </c>
      <c r="I1202" s="1" t="str">
        <f>IF(G1202&lt;=$K$1,"Pagado","Pendiente")</f>
        <v>Pendiente</v>
      </c>
    </row>
    <row r="1203" spans="1:9" hidden="1">
      <c r="A1203" s="2">
        <v>23430</v>
      </c>
      <c r="B1203" s="2">
        <v>55</v>
      </c>
      <c r="C1203" s="8">
        <v>1739016.22</v>
      </c>
      <c r="D1203" s="8">
        <v>2850408.03</v>
      </c>
      <c r="E1203" s="8">
        <v>342048.96</v>
      </c>
      <c r="F1203" s="8">
        <v>4931473.21</v>
      </c>
      <c r="G1203" s="7">
        <v>47168</v>
      </c>
      <c r="H1203" s="1" t="s">
        <v>31</v>
      </c>
      <c r="I1203" s="1" t="str">
        <f>IF(G1203&lt;=$K$1,"Pagado","Pendiente")</f>
        <v>Pendiente</v>
      </c>
    </row>
    <row r="1204" spans="1:9" hidden="1">
      <c r="A1204" s="2">
        <v>23467</v>
      </c>
      <c r="B1204" s="2">
        <v>54</v>
      </c>
      <c r="C1204" s="8">
        <v>6521310.9199999999</v>
      </c>
      <c r="D1204" s="8">
        <v>10689030.039999999</v>
      </c>
      <c r="E1204" s="8">
        <v>1282683.6000000001</v>
      </c>
      <c r="F1204" s="8">
        <v>18493024.559999999</v>
      </c>
      <c r="G1204" s="7">
        <v>47168</v>
      </c>
      <c r="H1204" s="1" t="s">
        <v>31</v>
      </c>
      <c r="I1204" s="1" t="str">
        <f>IF(G1204&lt;=$K$1,"Pagado","Pendiente")</f>
        <v>Pendiente</v>
      </c>
    </row>
    <row r="1205" spans="1:9" hidden="1">
      <c r="A1205" s="2">
        <v>394949</v>
      </c>
      <c r="B1205" s="2">
        <v>50</v>
      </c>
      <c r="C1205" s="8">
        <v>2580332.15</v>
      </c>
      <c r="D1205" s="8">
        <v>2325985.14</v>
      </c>
      <c r="E1205" s="8">
        <v>279118.2</v>
      </c>
      <c r="F1205" s="8">
        <v>5185435.49</v>
      </c>
      <c r="G1205" s="7">
        <v>47175</v>
      </c>
      <c r="H1205" s="1" t="s">
        <v>30</v>
      </c>
      <c r="I1205" s="1" t="str">
        <f>IF(G1205&lt;=$K$1,"Pagado","Pendiente")</f>
        <v>Pendiente</v>
      </c>
    </row>
    <row r="1206" spans="1:9" hidden="1">
      <c r="A1206" s="2">
        <v>347916</v>
      </c>
      <c r="B1206" s="2">
        <v>56</v>
      </c>
      <c r="C1206" s="8">
        <v>5790871.4851192441</v>
      </c>
      <c r="D1206" s="8">
        <v>2662312.2831401825</v>
      </c>
      <c r="E1206" s="8">
        <v>319477.47397682187</v>
      </c>
      <c r="F1206" s="8">
        <v>8772661.2422362491</v>
      </c>
      <c r="G1206" s="7">
        <v>47176</v>
      </c>
      <c r="H1206" s="1" t="s">
        <v>30</v>
      </c>
      <c r="I1206" s="1" t="str">
        <f>IF(G1206&lt;=$K$1,"Pagado","Pendiente")</f>
        <v>Pendiente</v>
      </c>
    </row>
    <row r="1207" spans="1:9" hidden="1">
      <c r="A1207" s="2">
        <v>843950300</v>
      </c>
      <c r="B1207" s="2">
        <v>53</v>
      </c>
      <c r="C1207" s="8">
        <v>6236802.6699999999</v>
      </c>
      <c r="D1207" s="8">
        <v>1538566.73</v>
      </c>
      <c r="E1207" s="8">
        <f>+F1207-D1207-C1207</f>
        <v>184628.00999999978</v>
      </c>
      <c r="F1207" s="8">
        <v>7959997.4100000001</v>
      </c>
      <c r="G1207" s="7">
        <v>47176</v>
      </c>
      <c r="H1207" s="1" t="s">
        <v>24</v>
      </c>
      <c r="I1207" s="1" t="str">
        <f>IF(G1207&lt;=$K$1,"Pagado","Pendiente")</f>
        <v>Pendiente</v>
      </c>
    </row>
    <row r="1208" spans="1:9" hidden="1">
      <c r="A1208" s="2">
        <v>31295</v>
      </c>
      <c r="B1208" s="2">
        <v>50</v>
      </c>
      <c r="C1208" s="8">
        <v>5386884.8700000001</v>
      </c>
      <c r="D1208" s="8">
        <v>1873135.35</v>
      </c>
      <c r="E1208" s="8">
        <v>224776.24</v>
      </c>
      <c r="F1208" s="8">
        <v>7484796.46</v>
      </c>
      <c r="G1208" s="7">
        <v>47176</v>
      </c>
      <c r="H1208" s="1" t="s">
        <v>35</v>
      </c>
      <c r="I1208" s="1" t="str">
        <f>IF(G1208&lt;=$K$1,"Pagado","Pendiente")</f>
        <v>Pendiente</v>
      </c>
    </row>
    <row r="1209" spans="1:9" hidden="1">
      <c r="A1209" s="2">
        <v>66235635</v>
      </c>
      <c r="B1209" s="2">
        <v>56</v>
      </c>
      <c r="C1209" s="8">
        <v>7916666.6699999999</v>
      </c>
      <c r="D1209" s="8">
        <v>759132.42</v>
      </c>
      <c r="E1209" s="8">
        <v>91095.890000000596</v>
      </c>
      <c r="F1209" s="8">
        <v>8766894.9800000004</v>
      </c>
      <c r="G1209" s="7">
        <v>47179</v>
      </c>
      <c r="H1209" s="1" t="s">
        <v>26</v>
      </c>
      <c r="I1209" s="1" t="str">
        <f>IF(G1209&lt;=$K$1,"Pagado","Pendiente")</f>
        <v>Pendiente</v>
      </c>
    </row>
    <row r="1210" spans="1:9" hidden="1">
      <c r="A1210" s="2">
        <v>22044</v>
      </c>
      <c r="B1210" s="2">
        <v>67</v>
      </c>
      <c r="C1210" s="8">
        <v>2288005.1893781484</v>
      </c>
      <c r="D1210" s="8">
        <v>443992.66146909969</v>
      </c>
      <c r="E1210" s="8">
        <v>53279.119376291965</v>
      </c>
      <c r="F1210" s="8">
        <v>2785276.97022354</v>
      </c>
      <c r="G1210" s="7">
        <v>47179</v>
      </c>
      <c r="H1210" s="1" t="s">
        <v>31</v>
      </c>
      <c r="I1210" s="1" t="str">
        <f>IF(G1210&lt;=$K$1,"Pagado","Pendiente")</f>
        <v>Pendiente</v>
      </c>
    </row>
    <row r="1211" spans="1:9" s="10" customFormat="1" hidden="1">
      <c r="A1211" s="9">
        <v>23700</v>
      </c>
      <c r="B1211" s="9">
        <v>1</v>
      </c>
      <c r="C1211" s="13">
        <v>8080138.54</v>
      </c>
      <c r="D1211" s="13">
        <v>14442000</v>
      </c>
      <c r="E1211" s="13">
        <f>+D1211*0.12</f>
        <v>1733040</v>
      </c>
      <c r="F1211" s="13">
        <f>+C1211+D1211+E1211</f>
        <v>24255178.539999999</v>
      </c>
      <c r="G1211" s="11">
        <v>45723</v>
      </c>
      <c r="H1211" s="10" t="s">
        <v>31</v>
      </c>
      <c r="I1211" s="1" t="str">
        <f>IF(G1211&lt;=$K$1,"Pagado","Pendiente")</f>
        <v>Pagado</v>
      </c>
    </row>
    <row r="1212" spans="1:9" hidden="1">
      <c r="A1212" s="2">
        <v>23700</v>
      </c>
      <c r="B1212" s="2">
        <v>2</v>
      </c>
      <c r="C1212" s="8">
        <v>8267239.5700000003</v>
      </c>
      <c r="D1212" s="8">
        <v>14354657.66</v>
      </c>
      <c r="E1212" s="8">
        <v>1722558.91</v>
      </c>
      <c r="F1212" s="8">
        <v>24344456.140000001</v>
      </c>
      <c r="G1212" s="7">
        <v>45754</v>
      </c>
      <c r="H1212" s="1" t="s">
        <v>31</v>
      </c>
      <c r="I1212" s="1" t="str">
        <f>IF(G1212&lt;=$K$1,"Pagado","Pendiente")</f>
        <v>Pagado</v>
      </c>
    </row>
    <row r="1213" spans="1:9" s="10" customFormat="1" hidden="1">
      <c r="A1213" s="9">
        <v>23700</v>
      </c>
      <c r="B1213" s="9">
        <v>3</v>
      </c>
      <c r="C1213" s="13">
        <v>8508461.7599999998</v>
      </c>
      <c r="D1213" s="13">
        <v>14113435.470000001</v>
      </c>
      <c r="E1213" s="13">
        <v>1693612.25</v>
      </c>
      <c r="F1213" s="13">
        <v>24315509.48</v>
      </c>
      <c r="G1213" s="11">
        <v>45784</v>
      </c>
      <c r="H1213" s="10" t="s">
        <v>31</v>
      </c>
      <c r="I1213" s="1" t="str">
        <f>IF(G1213&lt;=$K$1,"Pagado","Pendiente")</f>
        <v>Pagado</v>
      </c>
    </row>
    <row r="1214" spans="1:9" hidden="1">
      <c r="A1214" s="2">
        <v>23700</v>
      </c>
      <c r="B1214" s="2">
        <v>4</v>
      </c>
      <c r="C1214" s="8">
        <v>8756722.3599999994</v>
      </c>
      <c r="D1214" s="8">
        <v>13865174.869999999</v>
      </c>
      <c r="E1214" s="8">
        <v>1663820.98</v>
      </c>
      <c r="F1214" s="8">
        <v>24285718.209999997</v>
      </c>
      <c r="G1214" s="7">
        <v>45815</v>
      </c>
      <c r="H1214" s="1" t="s">
        <v>31</v>
      </c>
      <c r="I1214" s="1" t="str">
        <f>IF(G1214&lt;=$K$1,"Pagado","Pendiente")</f>
        <v>Pagado</v>
      </c>
    </row>
    <row r="1215" spans="1:9" hidden="1">
      <c r="A1215" s="2">
        <v>23700</v>
      </c>
      <c r="B1215" s="2">
        <v>5</v>
      </c>
      <c r="C1215" s="8">
        <v>9012226.7200000007</v>
      </c>
      <c r="D1215" s="8">
        <v>13609670.51</v>
      </c>
      <c r="E1215" s="8">
        <v>1633160.46</v>
      </c>
      <c r="F1215" s="8">
        <v>24255057.690000001</v>
      </c>
      <c r="G1215" s="7">
        <v>45845</v>
      </c>
      <c r="H1215" s="1" t="s">
        <v>31</v>
      </c>
      <c r="I1215" s="1" t="str">
        <f>IF(G1215&lt;=$K$1,"Pagado","Pendiente")</f>
        <v>Pagado</v>
      </c>
    </row>
    <row r="1216" spans="1:9" hidden="1">
      <c r="A1216" s="2">
        <v>23700</v>
      </c>
      <c r="B1216" s="2">
        <v>6</v>
      </c>
      <c r="C1216" s="8">
        <v>9275186.2100000009</v>
      </c>
      <c r="D1216" s="8">
        <v>13346711.02</v>
      </c>
      <c r="E1216" s="8">
        <v>1601605.33</v>
      </c>
      <c r="F1216" s="8">
        <v>24223502.560000002</v>
      </c>
      <c r="G1216" s="7">
        <v>45876</v>
      </c>
      <c r="H1216" s="1" t="s">
        <v>31</v>
      </c>
      <c r="I1216" s="1" t="str">
        <f>IF(G1216&lt;=$K$1,"Pagado","Pendiente")</f>
        <v>Pagado</v>
      </c>
    </row>
    <row r="1217" spans="1:9" hidden="1">
      <c r="A1217" s="2">
        <v>119980</v>
      </c>
      <c r="B1217" s="2">
        <v>52</v>
      </c>
      <c r="C1217" s="8">
        <v>14166666.67</v>
      </c>
      <c r="D1217" s="8">
        <v>3129863.01</v>
      </c>
      <c r="E1217" s="8">
        <f>+F1217-D1217-C1217</f>
        <v>375583.5700000003</v>
      </c>
      <c r="F1217" s="8">
        <v>17672113.25</v>
      </c>
      <c r="G1217" s="7">
        <v>47181</v>
      </c>
      <c r="H1217" s="1" t="s">
        <v>26</v>
      </c>
      <c r="I1217" s="1" t="str">
        <f>IF(G1217&lt;=$K$1,"Pagado","Pendiente")</f>
        <v>Pendiente</v>
      </c>
    </row>
    <row r="1218" spans="1:9" hidden="1">
      <c r="A1218" s="2">
        <v>23996</v>
      </c>
      <c r="B1218" s="2">
        <v>44</v>
      </c>
      <c r="C1218" s="8">
        <v>2973341.81</v>
      </c>
      <c r="D1218" s="8">
        <v>7583460.1200000001</v>
      </c>
      <c r="E1218" s="8">
        <v>910773.56</v>
      </c>
      <c r="F1218" s="8">
        <f>+C1218+D1218+E1218</f>
        <v>11467575.49</v>
      </c>
      <c r="G1218" s="7">
        <v>47190</v>
      </c>
      <c r="H1218" s="1" t="s">
        <v>31</v>
      </c>
      <c r="I1218" s="1" t="str">
        <f>IF(G1218&lt;=$K$1,"Pagado","Pendiente")</f>
        <v>Pendiente</v>
      </c>
    </row>
    <row r="1219" spans="1:9" hidden="1">
      <c r="A1219" s="2">
        <v>927328</v>
      </c>
      <c r="B1219" s="2">
        <v>53</v>
      </c>
      <c r="C1219" s="8">
        <v>11536544.511324283</v>
      </c>
      <c r="D1219" s="8">
        <v>2510475.1321416376</v>
      </c>
      <c r="E1219" s="8">
        <v>301257.01585699653</v>
      </c>
      <c r="F1219" s="8">
        <v>14348276.659322917</v>
      </c>
      <c r="G1219" s="7">
        <v>47194</v>
      </c>
      <c r="H1219" s="1" t="s">
        <v>32</v>
      </c>
      <c r="I1219" s="1" t="str">
        <f>IF(G1219&lt;=$K$1,"Pagado","Pendiente")</f>
        <v>Pendiente</v>
      </c>
    </row>
    <row r="1220" spans="1:9" hidden="1">
      <c r="A1220" s="2">
        <v>75472831</v>
      </c>
      <c r="B1220" s="2">
        <v>53</v>
      </c>
      <c r="C1220" s="8">
        <v>2083333.33</v>
      </c>
      <c r="D1220" s="8">
        <v>409132.42</v>
      </c>
      <c r="E1220" s="8">
        <f>+F1220-D1220-C1220</f>
        <v>49095.89000000013</v>
      </c>
      <c r="F1220" s="8">
        <v>2541561.64</v>
      </c>
      <c r="G1220" s="7">
        <v>47194</v>
      </c>
      <c r="H1220" s="1" t="s">
        <v>26</v>
      </c>
      <c r="I1220" s="1" t="str">
        <f>IF(G1220&lt;=$K$1,"Pagado","Pendiente")</f>
        <v>Pendiente</v>
      </c>
    </row>
    <row r="1221" spans="1:9" hidden="1">
      <c r="A1221" s="2">
        <v>863502400</v>
      </c>
      <c r="B1221" s="2">
        <v>51</v>
      </c>
      <c r="C1221" s="8">
        <v>7578291.2300000004</v>
      </c>
      <c r="D1221" s="8">
        <v>2443296</v>
      </c>
      <c r="E1221" s="8">
        <v>293195.52000000002</v>
      </c>
      <c r="F1221" s="8">
        <v>10314782.75</v>
      </c>
      <c r="G1221" s="7">
        <v>47194</v>
      </c>
      <c r="H1221" s="1" t="s">
        <v>24</v>
      </c>
      <c r="I1221" s="1" t="str">
        <f>IF(G1221&lt;=$K$1,"Pagado","Pendiente")</f>
        <v>Pendiente</v>
      </c>
    </row>
    <row r="1222" spans="1:9" hidden="1">
      <c r="A1222" s="2">
        <v>863502600</v>
      </c>
      <c r="B1222" s="2">
        <v>51</v>
      </c>
      <c r="C1222" s="8">
        <v>3919805.8</v>
      </c>
      <c r="D1222" s="8">
        <v>1263773.8</v>
      </c>
      <c r="E1222" s="8">
        <v>151652.85999999999</v>
      </c>
      <c r="F1222" s="8">
        <v>5335232.46</v>
      </c>
      <c r="G1222" s="7">
        <v>47194</v>
      </c>
      <c r="H1222" s="1" t="s">
        <v>24</v>
      </c>
      <c r="I1222" s="1" t="str">
        <f>IF(G1222&lt;=$K$1,"Pagado","Pendiente")</f>
        <v>Pendiente</v>
      </c>
    </row>
    <row r="1223" spans="1:9" hidden="1">
      <c r="A1223" s="2">
        <v>24004</v>
      </c>
      <c r="B1223" s="2">
        <v>44</v>
      </c>
      <c r="C1223" s="8">
        <v>3292698.38</v>
      </c>
      <c r="D1223" s="8">
        <v>2481811.19</v>
      </c>
      <c r="E1223" s="8">
        <v>298065.52</v>
      </c>
      <c r="F1223" s="8">
        <v>6072575.0899999999</v>
      </c>
      <c r="G1223" s="7">
        <v>47194</v>
      </c>
      <c r="H1223" s="1" t="s">
        <v>31</v>
      </c>
      <c r="I1223" s="1" t="str">
        <f>IF(G1223&lt;=$K$1,"Pagado","Pendiente")</f>
        <v>Pendiente</v>
      </c>
    </row>
    <row r="1224" spans="1:9" hidden="1">
      <c r="A1224" s="2">
        <v>65210751</v>
      </c>
      <c r="B1224" s="2">
        <v>57</v>
      </c>
      <c r="C1224" s="8">
        <v>8958333.3300000001</v>
      </c>
      <c r="D1224" s="8">
        <v>687214.61</v>
      </c>
      <c r="E1224" s="8">
        <v>82465.75</v>
      </c>
      <c r="F1224" s="8">
        <v>9728013.6899999995</v>
      </c>
      <c r="G1224" s="7">
        <v>47195</v>
      </c>
      <c r="H1224" s="1" t="s">
        <v>26</v>
      </c>
      <c r="I1224" s="1" t="str">
        <f>IF(G1224&lt;=$K$1,"Pagado","Pendiente")</f>
        <v>Pendiente</v>
      </c>
    </row>
    <row r="1225" spans="1:9" hidden="1">
      <c r="A1225" s="2">
        <v>23430</v>
      </c>
      <c r="B1225" s="2">
        <v>56</v>
      </c>
      <c r="C1225" s="8">
        <v>1796189.36</v>
      </c>
      <c r="D1225" s="8">
        <v>2793234.89</v>
      </c>
      <c r="E1225" s="8">
        <v>335188.18</v>
      </c>
      <c r="F1225" s="8">
        <v>4924612.43</v>
      </c>
      <c r="G1225" s="7">
        <v>47196</v>
      </c>
      <c r="H1225" s="1" t="s">
        <v>31</v>
      </c>
      <c r="I1225" s="1" t="str">
        <f>IF(G1225&lt;=$K$1,"Pagado","Pendiente")</f>
        <v>Pendiente</v>
      </c>
    </row>
    <row r="1226" spans="1:9" hidden="1">
      <c r="A1226" s="2">
        <v>23467</v>
      </c>
      <c r="B1226" s="2">
        <v>55</v>
      </c>
      <c r="C1226" s="8">
        <v>6735710.1900000004</v>
      </c>
      <c r="D1226" s="8">
        <v>10474630.77</v>
      </c>
      <c r="E1226" s="8">
        <v>1256955.69</v>
      </c>
      <c r="F1226" s="8">
        <v>18467296.649999999</v>
      </c>
      <c r="G1226" s="7">
        <v>47196</v>
      </c>
      <c r="H1226" s="1" t="s">
        <v>31</v>
      </c>
      <c r="I1226" s="1" t="str">
        <f>IF(G1226&lt;=$K$1,"Pagado","Pendiente")</f>
        <v>Pendiente</v>
      </c>
    </row>
    <row r="1227" spans="1:9" hidden="1">
      <c r="A1227" s="2">
        <v>394949</v>
      </c>
      <c r="B1227" s="2">
        <v>51</v>
      </c>
      <c r="C1227" s="8">
        <v>2653441.56</v>
      </c>
      <c r="D1227" s="8">
        <v>2252875.73</v>
      </c>
      <c r="E1227" s="8">
        <v>270345.08</v>
      </c>
      <c r="F1227" s="8">
        <v>5176662.37</v>
      </c>
      <c r="G1227" s="7">
        <v>47203</v>
      </c>
      <c r="H1227" s="1" t="s">
        <v>30</v>
      </c>
      <c r="I1227" s="1" t="str">
        <f>IF(G1227&lt;=$K$1,"Pagado","Pendiente")</f>
        <v>Pendiente</v>
      </c>
    </row>
    <row r="1228" spans="1:9" hidden="1">
      <c r="A1228" s="2">
        <v>347916</v>
      </c>
      <c r="B1228" s="2">
        <v>57</v>
      </c>
      <c r="C1228" s="8">
        <v>5921166.0935344268</v>
      </c>
      <c r="D1228" s="8">
        <v>2532017.6747249998</v>
      </c>
      <c r="E1228" s="8">
        <v>303842.12096699997</v>
      </c>
      <c r="F1228" s="8">
        <v>8757025.8892264273</v>
      </c>
      <c r="G1228" s="7">
        <v>47204</v>
      </c>
      <c r="H1228" s="1" t="s">
        <v>30</v>
      </c>
      <c r="I1228" s="1" t="str">
        <f>IF(G1228&lt;=$K$1,"Pagado","Pendiente")</f>
        <v>Pendiente</v>
      </c>
    </row>
    <row r="1229" spans="1:9" hidden="1">
      <c r="A1229" s="2">
        <v>843950300</v>
      </c>
      <c r="B1229" s="2">
        <v>54</v>
      </c>
      <c r="C1229" s="8">
        <v>6411090.1200000001</v>
      </c>
      <c r="D1229" s="8">
        <v>1364279.28</v>
      </c>
      <c r="E1229" s="8">
        <f>+F1229-D1229-C1229</f>
        <v>163713.50999999978</v>
      </c>
      <c r="F1229" s="8">
        <v>7939082.9100000001</v>
      </c>
      <c r="G1229" s="7">
        <v>47204</v>
      </c>
      <c r="H1229" s="1" t="s">
        <v>24</v>
      </c>
      <c r="I1229" s="1" t="str">
        <f>IF(G1229&lt;=$K$1,"Pagado","Pendiente")</f>
        <v>Pendiente</v>
      </c>
    </row>
    <row r="1230" spans="1:9" hidden="1">
      <c r="A1230" s="2">
        <v>31295</v>
      </c>
      <c r="B1230" s="2">
        <v>51</v>
      </c>
      <c r="C1230" s="8">
        <v>5535024.2000000002</v>
      </c>
      <c r="D1230" s="8">
        <v>1724996.02</v>
      </c>
      <c r="E1230" s="8">
        <v>206999.52</v>
      </c>
      <c r="F1230" s="8">
        <v>7467019.7400000002</v>
      </c>
      <c r="G1230" s="7">
        <v>47204</v>
      </c>
      <c r="H1230" s="1" t="s">
        <v>35</v>
      </c>
      <c r="I1230" s="1" t="str">
        <f>IF(G1230&lt;=$K$1,"Pagado","Pendiente")</f>
        <v>Pendiente</v>
      </c>
    </row>
    <row r="1231" spans="1:9" hidden="1">
      <c r="A1231" s="2">
        <v>66235635</v>
      </c>
      <c r="B1231" s="2">
        <v>57</v>
      </c>
      <c r="C1231" s="8">
        <v>7916666.6699999999</v>
      </c>
      <c r="D1231" s="8">
        <v>672374.43</v>
      </c>
      <c r="E1231" s="8">
        <v>80684.939999999478</v>
      </c>
      <c r="F1231" s="8">
        <v>8669726.0399999991</v>
      </c>
      <c r="G1231" s="7">
        <v>47210</v>
      </c>
      <c r="H1231" s="1" t="s">
        <v>26</v>
      </c>
      <c r="I1231" s="1" t="str">
        <f>IF(G1231&lt;=$K$1,"Pagado","Pendiente")</f>
        <v>Pendiente</v>
      </c>
    </row>
    <row r="1232" spans="1:9" hidden="1">
      <c r="A1232" s="2">
        <v>22044</v>
      </c>
      <c r="B1232" s="2">
        <v>68</v>
      </c>
      <c r="C1232" s="8">
        <v>2356645.3450594926</v>
      </c>
      <c r="D1232" s="8">
        <v>375352.50578775525</v>
      </c>
      <c r="E1232" s="8">
        <v>45042.300694530626</v>
      </c>
      <c r="F1232" s="8">
        <v>2777040.1515417784</v>
      </c>
      <c r="G1232" s="7">
        <v>47210</v>
      </c>
      <c r="H1232" s="1" t="s">
        <v>31</v>
      </c>
      <c r="I1232" s="1" t="str">
        <f>IF(G1232&lt;=$K$1,"Pagado","Pendiente")</f>
        <v>Pendiente</v>
      </c>
    </row>
    <row r="1233" spans="1:9" hidden="1">
      <c r="A1233" s="2">
        <v>119980</v>
      </c>
      <c r="B1233" s="2">
        <v>53</v>
      </c>
      <c r="C1233" s="8">
        <v>14166666.67</v>
      </c>
      <c r="D1233" s="8">
        <v>2980821.91</v>
      </c>
      <c r="E1233" s="8">
        <f>+F1233-D1233-C1233</f>
        <v>357698.63000000082</v>
      </c>
      <c r="F1233" s="8">
        <v>17505187.210000001</v>
      </c>
      <c r="G1233" s="7">
        <v>47212</v>
      </c>
      <c r="H1233" s="1" t="s">
        <v>26</v>
      </c>
      <c r="I1233" s="1" t="str">
        <f>IF(G1233&lt;=$K$1,"Pagado","Pendiente")</f>
        <v>Pendiente</v>
      </c>
    </row>
    <row r="1234" spans="1:9" hidden="1">
      <c r="A1234" s="2">
        <v>23996</v>
      </c>
      <c r="B1234" s="2">
        <v>45</v>
      </c>
      <c r="C1234" s="8">
        <v>3066666.05</v>
      </c>
      <c r="D1234" s="8">
        <v>7490135.8799999999</v>
      </c>
      <c r="E1234" s="8">
        <v>899565.32</v>
      </c>
      <c r="F1234" s="8">
        <f>+C1234+D1234+E1234</f>
        <v>11456367.25</v>
      </c>
      <c r="G1234" s="7">
        <v>47221</v>
      </c>
      <c r="H1234" s="1" t="s">
        <v>31</v>
      </c>
      <c r="I1234" s="1" t="str">
        <f>IF(G1234&lt;=$K$1,"Pagado","Pendiente")</f>
        <v>Pendiente</v>
      </c>
    </row>
    <row r="1235" spans="1:9" hidden="1">
      <c r="A1235" s="2">
        <v>927328</v>
      </c>
      <c r="B1235" s="2">
        <v>54</v>
      </c>
      <c r="C1235" s="8">
        <v>11823996.745398114</v>
      </c>
      <c r="D1235" s="8">
        <v>2223022.8980678073</v>
      </c>
      <c r="E1235" s="8">
        <v>266762.74776813691</v>
      </c>
      <c r="F1235" s="8">
        <v>14313782.391234057</v>
      </c>
      <c r="G1235" s="7">
        <v>47225</v>
      </c>
      <c r="H1235" s="1" t="s">
        <v>32</v>
      </c>
      <c r="I1235" s="1" t="str">
        <f>IF(G1235&lt;=$K$1,"Pagado","Pendiente")</f>
        <v>Pendiente</v>
      </c>
    </row>
    <row r="1236" spans="1:9" hidden="1">
      <c r="A1236" s="2">
        <v>75472831</v>
      </c>
      <c r="B1236" s="2">
        <v>54</v>
      </c>
      <c r="C1236" s="8">
        <v>2083333.33</v>
      </c>
      <c r="D1236" s="8">
        <v>370776.26</v>
      </c>
      <c r="E1236" s="8">
        <f>+F1236-D1236-C1236</f>
        <v>44493.150000000373</v>
      </c>
      <c r="F1236" s="8">
        <v>2498602.7400000002</v>
      </c>
      <c r="G1236" s="7">
        <v>47225</v>
      </c>
      <c r="H1236" s="1" t="s">
        <v>26</v>
      </c>
      <c r="I1236" s="1" t="str">
        <f>IF(G1236&lt;=$K$1,"Pagado","Pendiente")</f>
        <v>Pendiente</v>
      </c>
    </row>
    <row r="1237" spans="1:9" hidden="1">
      <c r="A1237" s="2">
        <v>863502400</v>
      </c>
      <c r="B1237" s="2">
        <v>52</v>
      </c>
      <c r="C1237" s="8">
        <v>7790066.5800000001</v>
      </c>
      <c r="D1237" s="8">
        <v>2231520.65</v>
      </c>
      <c r="E1237" s="8">
        <v>267782.48</v>
      </c>
      <c r="F1237" s="8">
        <v>10289369.710000001</v>
      </c>
      <c r="G1237" s="7">
        <v>47225</v>
      </c>
      <c r="H1237" s="1" t="s">
        <v>24</v>
      </c>
      <c r="I1237" s="1" t="str">
        <f>IF(G1237&lt;=$K$1,"Pagado","Pendiente")</f>
        <v>Pendiente</v>
      </c>
    </row>
    <row r="1238" spans="1:9" hidden="1">
      <c r="A1238" s="2">
        <v>863502600</v>
      </c>
      <c r="B1238" s="2">
        <v>52</v>
      </c>
      <c r="C1238" s="8">
        <v>4029344.77</v>
      </c>
      <c r="D1238" s="8">
        <v>1154234.83</v>
      </c>
      <c r="E1238" s="8">
        <v>138508.18</v>
      </c>
      <c r="F1238" s="8">
        <v>5322087.78</v>
      </c>
      <c r="G1238" s="7">
        <v>47225</v>
      </c>
      <c r="H1238" s="1" t="s">
        <v>24</v>
      </c>
      <c r="I1238" s="1" t="str">
        <f>IF(G1238&lt;=$K$1,"Pagado","Pendiente")</f>
        <v>Pendiente</v>
      </c>
    </row>
    <row r="1239" spans="1:9" hidden="1">
      <c r="A1239" s="2">
        <v>24004</v>
      </c>
      <c r="B1239" s="2">
        <v>45</v>
      </c>
      <c r="C1239" s="8">
        <v>3403319.51</v>
      </c>
      <c r="D1239" s="8">
        <v>2371190.06</v>
      </c>
      <c r="E1239" s="8">
        <v>284779.93</v>
      </c>
      <c r="F1239" s="8">
        <v>6059289.5</v>
      </c>
      <c r="G1239" s="7">
        <v>47225</v>
      </c>
      <c r="H1239" s="1" t="s">
        <v>31</v>
      </c>
      <c r="I1239" s="1" t="str">
        <f>IF(G1239&lt;=$K$1,"Pagado","Pendiente")</f>
        <v>Pendiente</v>
      </c>
    </row>
    <row r="1240" spans="1:9" hidden="1">
      <c r="A1240" s="2">
        <v>65210751</v>
      </c>
      <c r="B1240" s="2">
        <v>58</v>
      </c>
      <c r="C1240" s="8">
        <v>8958333.3300000001</v>
      </c>
      <c r="D1240" s="8">
        <v>552226.03</v>
      </c>
      <c r="E1240" s="8">
        <v>66267.120000001043</v>
      </c>
      <c r="F1240" s="8">
        <v>9576826.4800000004</v>
      </c>
      <c r="G1240" s="7">
        <v>47226</v>
      </c>
      <c r="H1240" s="1" t="s">
        <v>26</v>
      </c>
      <c r="I1240" s="1" t="str">
        <f>IF(G1240&lt;=$K$1,"Pagado","Pendiente")</f>
        <v>Pendiente</v>
      </c>
    </row>
    <row r="1241" spans="1:9" hidden="1">
      <c r="A1241" s="2">
        <v>23430</v>
      </c>
      <c r="B1241" s="2">
        <v>57</v>
      </c>
      <c r="C1241" s="8">
        <v>1855242.16</v>
      </c>
      <c r="D1241" s="8">
        <v>2734182.09</v>
      </c>
      <c r="E1241" s="8">
        <v>328101.84999999998</v>
      </c>
      <c r="F1241" s="8">
        <v>4917526.0999999996</v>
      </c>
      <c r="G1241" s="7">
        <v>47227</v>
      </c>
      <c r="H1241" s="1" t="s">
        <v>31</v>
      </c>
      <c r="I1241" s="1" t="str">
        <f>IF(G1241&lt;=$K$1,"Pagado","Pendiente")</f>
        <v>Pendiente</v>
      </c>
    </row>
    <row r="1242" spans="1:9" hidden="1">
      <c r="A1242" s="2">
        <v>23467</v>
      </c>
      <c r="B1242" s="2">
        <v>56</v>
      </c>
      <c r="C1242" s="8">
        <v>6957158.1900000004</v>
      </c>
      <c r="D1242" s="8">
        <v>10253182.77</v>
      </c>
      <c r="E1242" s="8">
        <v>1230381.93</v>
      </c>
      <c r="F1242" s="8">
        <v>18440722.890000001</v>
      </c>
      <c r="G1242" s="7">
        <v>47227</v>
      </c>
      <c r="H1242" s="1" t="s">
        <v>31</v>
      </c>
      <c r="I1242" s="1" t="str">
        <f>IF(G1242&lt;=$K$1,"Pagado","Pendiente")</f>
        <v>Pendiente</v>
      </c>
    </row>
    <row r="1243" spans="1:9" hidden="1">
      <c r="A1243" s="2">
        <v>394949</v>
      </c>
      <c r="B1243" s="2">
        <v>52</v>
      </c>
      <c r="C1243" s="8">
        <v>2728622.41</v>
      </c>
      <c r="D1243" s="8">
        <v>2177694.88</v>
      </c>
      <c r="E1243" s="8">
        <v>261323.38</v>
      </c>
      <c r="F1243" s="8">
        <v>5167640.67</v>
      </c>
      <c r="G1243" s="7">
        <v>47234</v>
      </c>
      <c r="H1243" s="1" t="s">
        <v>30</v>
      </c>
      <c r="I1243" s="1" t="str">
        <f>IF(G1243&lt;=$K$1,"Pagado","Pendiente")</f>
        <v>Pendiente</v>
      </c>
    </row>
    <row r="1244" spans="1:9" hidden="1">
      <c r="A1244" s="2">
        <v>347916</v>
      </c>
      <c r="B1244" s="2">
        <v>58</v>
      </c>
      <c r="C1244" s="8">
        <v>6054392.3306389516</v>
      </c>
      <c r="D1244" s="8">
        <v>2398791.437620475</v>
      </c>
      <c r="E1244" s="8">
        <v>287854.97251445701</v>
      </c>
      <c r="F1244" s="8">
        <v>8741038.7407738827</v>
      </c>
      <c r="G1244" s="7">
        <v>47235</v>
      </c>
      <c r="H1244" s="1" t="s">
        <v>30</v>
      </c>
      <c r="I1244" s="1" t="str">
        <f>IF(G1244&lt;=$K$1,"Pagado","Pendiente")</f>
        <v>Pendiente</v>
      </c>
    </row>
    <row r="1245" spans="1:9" hidden="1">
      <c r="A1245" s="2">
        <v>843950300</v>
      </c>
      <c r="B1245" s="2">
        <v>55</v>
      </c>
      <c r="C1245" s="8">
        <v>6590248.0300000003</v>
      </c>
      <c r="D1245" s="8">
        <v>1185121.3700000001</v>
      </c>
      <c r="E1245" s="8">
        <f>+F1245-D1245-C1245</f>
        <v>142214.55999999959</v>
      </c>
      <c r="F1245" s="8">
        <v>7917583.96</v>
      </c>
      <c r="G1245" s="7">
        <v>47235</v>
      </c>
      <c r="H1245" s="1" t="s">
        <v>24</v>
      </c>
      <c r="I1245" s="1" t="str">
        <f>IF(G1245&lt;=$K$1,"Pagado","Pendiente")</f>
        <v>Pendiente</v>
      </c>
    </row>
    <row r="1246" spans="1:9" hidden="1">
      <c r="A1246" s="2">
        <v>31295</v>
      </c>
      <c r="B1246" s="2">
        <v>52</v>
      </c>
      <c r="C1246" s="8">
        <v>5687237.3700000001</v>
      </c>
      <c r="D1246" s="8">
        <v>1572782.85</v>
      </c>
      <c r="E1246" s="8">
        <v>188733.94</v>
      </c>
      <c r="F1246" s="8">
        <v>7448754.1600000001</v>
      </c>
      <c r="G1246" s="7">
        <v>47235</v>
      </c>
      <c r="H1246" s="1" t="s">
        <v>35</v>
      </c>
      <c r="I1246" s="1" t="str">
        <f>IF(G1246&lt;=$K$1,"Pagado","Pendiente")</f>
        <v>Pendiente</v>
      </c>
    </row>
    <row r="1247" spans="1:9" s="10" customFormat="1" hidden="1">
      <c r="A1247" s="9">
        <v>885417900</v>
      </c>
      <c r="B1247" s="9">
        <v>1</v>
      </c>
      <c r="C1247" s="13">
        <v>27777777.777777776</v>
      </c>
      <c r="D1247" s="13">
        <v>15576037.800000001</v>
      </c>
      <c r="E1247" s="13">
        <v>1869124.5360000001</v>
      </c>
      <c r="F1247" s="13">
        <v>45222940.113777772</v>
      </c>
      <c r="G1247" s="11">
        <v>45775</v>
      </c>
      <c r="H1247" s="10" t="s">
        <v>24</v>
      </c>
      <c r="I1247" s="1" t="str">
        <f>IF(G1247&lt;=$K$1,"Pagado","Pendiente")</f>
        <v>Pagado</v>
      </c>
    </row>
    <row r="1248" spans="1:9" s="10" customFormat="1" hidden="1">
      <c r="A1248" s="9">
        <v>885417900</v>
      </c>
      <c r="B1248" s="9">
        <v>2</v>
      </c>
      <c r="C1248" s="13">
        <v>27777777.777777776</v>
      </c>
      <c r="D1248" s="13">
        <v>16372733.52876984</v>
      </c>
      <c r="E1248" s="13">
        <v>1964728.0234523807</v>
      </c>
      <c r="F1248" s="13">
        <v>46115239.329999998</v>
      </c>
      <c r="G1248" s="11">
        <v>45805</v>
      </c>
      <c r="H1248" s="10" t="s">
        <v>24</v>
      </c>
      <c r="I1248" s="1" t="str">
        <f>IF(G1248&lt;=$K$1,"Pagado","Pendiente")</f>
        <v>Pagado</v>
      </c>
    </row>
    <row r="1249" spans="1:9" s="10" customFormat="1" hidden="1">
      <c r="A1249" s="9">
        <v>885417900</v>
      </c>
      <c r="B1249" s="9">
        <v>3</v>
      </c>
      <c r="C1249" s="13">
        <v>27777777.777777776</v>
      </c>
      <c r="D1249" s="13">
        <v>13585185.185185185</v>
      </c>
      <c r="E1249" s="13">
        <v>1630222.2222222222</v>
      </c>
      <c r="F1249" s="13">
        <v>42993185.185185187</v>
      </c>
      <c r="G1249" s="11">
        <v>45836</v>
      </c>
      <c r="H1249" s="10" t="s">
        <v>24</v>
      </c>
      <c r="I1249" s="1" t="str">
        <f>IF(G1249&lt;=$K$1,"Pagado","Pendiente")</f>
        <v>Pagado</v>
      </c>
    </row>
    <row r="1250" spans="1:9" hidden="1">
      <c r="A1250" s="2">
        <v>885417900</v>
      </c>
      <c r="B1250" s="2">
        <v>4</v>
      </c>
      <c r="C1250" s="8">
        <v>27777777.777777776</v>
      </c>
      <c r="D1250" s="8">
        <v>12736111.11111111</v>
      </c>
      <c r="E1250" s="8">
        <v>1528333.3333333333</v>
      </c>
      <c r="F1250" s="8">
        <v>42042222.222222216</v>
      </c>
      <c r="G1250" s="7">
        <v>45866</v>
      </c>
      <c r="H1250" s="1" t="s">
        <v>24</v>
      </c>
      <c r="I1250" s="1" t="str">
        <f>IF(G1250&lt;=$K$1,"Pagado","Pendiente")</f>
        <v>Pagado</v>
      </c>
    </row>
    <row r="1251" spans="1:9" hidden="1">
      <c r="A1251" s="2">
        <v>885417900</v>
      </c>
      <c r="B1251" s="2">
        <v>5</v>
      </c>
      <c r="C1251" s="8">
        <v>27777777.777777776</v>
      </c>
      <c r="D1251" s="8">
        <v>13311776.573412698</v>
      </c>
      <c r="E1251" s="8">
        <v>1597413.1888095236</v>
      </c>
      <c r="F1251" s="8">
        <f>+C1251+D1251+E1251</f>
        <v>42686967.539999999</v>
      </c>
      <c r="G1251" s="7">
        <v>45897</v>
      </c>
      <c r="H1251" s="1" t="s">
        <v>24</v>
      </c>
      <c r="I1251" s="1" t="str">
        <f>IF(G1251&lt;=$K$1,"Pagado","Pendiente")</f>
        <v>Pagado</v>
      </c>
    </row>
    <row r="1252" spans="1:9" hidden="1">
      <c r="A1252" s="2">
        <v>66235635</v>
      </c>
      <c r="B1252" s="2">
        <v>58</v>
      </c>
      <c r="C1252" s="8">
        <v>7916666.6699999999</v>
      </c>
      <c r="D1252" s="8">
        <v>488013.7</v>
      </c>
      <c r="E1252" s="8">
        <v>58561.649999999441</v>
      </c>
      <c r="F1252" s="8">
        <v>8463242.0199999996</v>
      </c>
      <c r="G1252" s="7">
        <v>47240</v>
      </c>
      <c r="H1252" s="1" t="s">
        <v>26</v>
      </c>
      <c r="I1252" s="1" t="str">
        <f>IF(G1252&lt;=$K$1,"Pagado","Pendiente")</f>
        <v>Pendiente</v>
      </c>
    </row>
    <row r="1253" spans="1:9" hidden="1">
      <c r="A1253" s="2">
        <v>22044</v>
      </c>
      <c r="B1253" s="2">
        <v>69</v>
      </c>
      <c r="C1253" s="8">
        <v>2427344.7054112777</v>
      </c>
      <c r="D1253" s="8">
        <v>304653.14543597045</v>
      </c>
      <c r="E1253" s="8">
        <v>36558.377452316454</v>
      </c>
      <c r="F1253" s="8">
        <v>2768556.2282995647</v>
      </c>
      <c r="G1253" s="7">
        <v>47240</v>
      </c>
      <c r="H1253" s="1" t="s">
        <v>31</v>
      </c>
      <c r="I1253" s="1" t="str">
        <f>IF(G1253&lt;=$K$1,"Pagado","Pendiente")</f>
        <v>Pendiente</v>
      </c>
    </row>
    <row r="1254" spans="1:9" hidden="1">
      <c r="A1254" s="2">
        <v>119980</v>
      </c>
      <c r="B1254" s="2">
        <v>54</v>
      </c>
      <c r="C1254" s="8">
        <v>14166666.67</v>
      </c>
      <c r="D1254" s="8">
        <v>2608219.17</v>
      </c>
      <c r="E1254" s="8">
        <f>+F1254-D1254-C1254</f>
        <v>312986.30000000075</v>
      </c>
      <c r="F1254" s="8">
        <v>17087872.140000001</v>
      </c>
      <c r="G1254" s="7">
        <v>47242</v>
      </c>
      <c r="H1254" s="1" t="s">
        <v>26</v>
      </c>
      <c r="I1254" s="1" t="str">
        <f>IF(G1254&lt;=$K$1,"Pagado","Pendiente")</f>
        <v>Pendiente</v>
      </c>
    </row>
    <row r="1255" spans="1:9" hidden="1">
      <c r="A1255" s="2">
        <v>23996</v>
      </c>
      <c r="B1255" s="2">
        <v>46</v>
      </c>
      <c r="C1255" s="8">
        <v>3162919.46</v>
      </c>
      <c r="D1255" s="8">
        <v>7393882.4699999997</v>
      </c>
      <c r="E1255" s="8">
        <v>888005.29</v>
      </c>
      <c r="F1255" s="8">
        <f>+C1255+D1255+E1255</f>
        <v>11444807.219999999</v>
      </c>
      <c r="G1255" s="7">
        <v>47251</v>
      </c>
      <c r="H1255" s="1" t="s">
        <v>31</v>
      </c>
      <c r="I1255" s="1" t="str">
        <f>IF(G1255&lt;=$K$1,"Pagado","Pendiente")</f>
        <v>Pendiente</v>
      </c>
    </row>
    <row r="1256" spans="1:9" hidden="1">
      <c r="A1256" s="2">
        <v>927328</v>
      </c>
      <c r="B1256" s="2">
        <v>55</v>
      </c>
      <c r="C1256" s="8">
        <v>12118611.33097095</v>
      </c>
      <c r="D1256" s="8">
        <v>1928408.3124949709</v>
      </c>
      <c r="E1256" s="8">
        <v>231408.9974993965</v>
      </c>
      <c r="F1256" s="8">
        <v>14278428.640965318</v>
      </c>
      <c r="G1256" s="7">
        <v>47255</v>
      </c>
      <c r="H1256" s="1" t="s">
        <v>32</v>
      </c>
      <c r="I1256" s="1" t="str">
        <f>IF(G1256&lt;=$K$1,"Pagado","Pendiente")</f>
        <v>Pendiente</v>
      </c>
    </row>
    <row r="1257" spans="1:9" hidden="1">
      <c r="A1257" s="2">
        <v>75472831</v>
      </c>
      <c r="B1257" s="2">
        <v>55</v>
      </c>
      <c r="C1257" s="8">
        <v>2083333.33</v>
      </c>
      <c r="D1257" s="8">
        <v>328767.13</v>
      </c>
      <c r="E1257" s="8">
        <f>+F1257-D1257-C1257</f>
        <v>39452.060000000056</v>
      </c>
      <c r="F1257" s="8">
        <v>2451552.52</v>
      </c>
      <c r="G1257" s="7">
        <v>47255</v>
      </c>
      <c r="H1257" s="1" t="s">
        <v>26</v>
      </c>
      <c r="I1257" s="1" t="str">
        <f>IF(G1257&lt;=$K$1,"Pagado","Pendiente")</f>
        <v>Pendiente</v>
      </c>
    </row>
    <row r="1258" spans="1:9" hidden="1">
      <c r="A1258" s="2">
        <v>863502400</v>
      </c>
      <c r="B1258" s="2">
        <v>53</v>
      </c>
      <c r="C1258" s="8">
        <v>8007759.9900000002</v>
      </c>
      <c r="D1258" s="8">
        <v>2013827.24</v>
      </c>
      <c r="E1258" s="8">
        <v>241659.27</v>
      </c>
      <c r="F1258" s="8">
        <v>10263246.5</v>
      </c>
      <c r="G1258" s="7">
        <v>47255</v>
      </c>
      <c r="H1258" s="1" t="s">
        <v>24</v>
      </c>
      <c r="I1258" s="1" t="str">
        <f>IF(G1258&lt;=$K$1,"Pagado","Pendiente")</f>
        <v>Pendiente</v>
      </c>
    </row>
    <row r="1259" spans="1:9" hidden="1">
      <c r="A1259" s="2">
        <v>863502600</v>
      </c>
      <c r="B1259" s="2">
        <v>53</v>
      </c>
      <c r="C1259" s="8">
        <v>4141944.81</v>
      </c>
      <c r="D1259" s="8">
        <v>1041634.79</v>
      </c>
      <c r="E1259" s="8">
        <v>124996.17</v>
      </c>
      <c r="F1259" s="8">
        <v>5308575.7699999996</v>
      </c>
      <c r="G1259" s="7">
        <v>47255</v>
      </c>
      <c r="H1259" s="1" t="s">
        <v>24</v>
      </c>
      <c r="I1259" s="1" t="str">
        <f>IF(G1259&lt;=$K$1,"Pagado","Pendiente")</f>
        <v>Pendiente</v>
      </c>
    </row>
    <row r="1260" spans="1:9" hidden="1">
      <c r="A1260" s="2">
        <v>24004</v>
      </c>
      <c r="B1260" s="2">
        <v>46</v>
      </c>
      <c r="C1260" s="8">
        <v>3517657.06</v>
      </c>
      <c r="D1260" s="8">
        <v>2256852.5099999998</v>
      </c>
      <c r="E1260" s="8">
        <v>271047.99</v>
      </c>
      <c r="F1260" s="8">
        <v>6045557.5599999996</v>
      </c>
      <c r="G1260" s="7">
        <v>47255</v>
      </c>
      <c r="H1260" s="1" t="s">
        <v>31</v>
      </c>
      <c r="I1260" s="1" t="str">
        <f>IF(G1260&lt;=$K$1,"Pagado","Pendiente")</f>
        <v>Pendiente</v>
      </c>
    </row>
    <row r="1261" spans="1:9" hidden="1">
      <c r="A1261" s="2">
        <v>65210751</v>
      </c>
      <c r="B1261" s="2">
        <v>59</v>
      </c>
      <c r="C1261" s="8">
        <v>8958333.3300000001</v>
      </c>
      <c r="D1261" s="8">
        <v>368150.69</v>
      </c>
      <c r="E1261" s="8">
        <v>44178.080000000075</v>
      </c>
      <c r="F1261" s="8">
        <v>9370662.0999999996</v>
      </c>
      <c r="G1261" s="7">
        <v>47256</v>
      </c>
      <c r="H1261" s="1" t="s">
        <v>26</v>
      </c>
      <c r="I1261" s="1" t="str">
        <f>IF(G1261&lt;=$K$1,"Pagado","Pendiente")</f>
        <v>Pendiente</v>
      </c>
    </row>
    <row r="1262" spans="1:9" hidden="1">
      <c r="A1262" s="2">
        <v>23430</v>
      </c>
      <c r="B1262" s="2">
        <v>58</v>
      </c>
      <c r="C1262" s="8">
        <v>1916236.42</v>
      </c>
      <c r="D1262" s="8">
        <v>2673187.83</v>
      </c>
      <c r="E1262" s="8">
        <v>320782.53999999998</v>
      </c>
      <c r="F1262" s="8">
        <v>4910206.79</v>
      </c>
      <c r="G1262" s="7">
        <v>47257</v>
      </c>
      <c r="H1262" s="1" t="s">
        <v>31</v>
      </c>
      <c r="I1262" s="1" t="str">
        <f>IF(G1262&lt;=$K$1,"Pagado","Pendiente")</f>
        <v>Pendiente</v>
      </c>
    </row>
    <row r="1263" spans="1:9" hidden="1">
      <c r="A1263" s="2">
        <v>23467</v>
      </c>
      <c r="B1263" s="2">
        <v>57</v>
      </c>
      <c r="C1263" s="8">
        <v>7185886.6799999997</v>
      </c>
      <c r="D1263" s="8">
        <v>10024454.279999999</v>
      </c>
      <c r="E1263" s="8">
        <v>1202934.51</v>
      </c>
      <c r="F1263" s="8">
        <v>18413275.469999999</v>
      </c>
      <c r="G1263" s="7">
        <v>47257</v>
      </c>
      <c r="H1263" s="1" t="s">
        <v>31</v>
      </c>
      <c r="I1263" s="1" t="str">
        <f>IF(G1263&lt;=$K$1,"Pagado","Pendiente")</f>
        <v>Pendiente</v>
      </c>
    </row>
    <row r="1264" spans="1:9" hidden="1">
      <c r="A1264" s="2">
        <v>394949</v>
      </c>
      <c r="B1264" s="2">
        <v>53</v>
      </c>
      <c r="C1264" s="8">
        <v>2805933.38</v>
      </c>
      <c r="D1264" s="8">
        <v>2100383.91</v>
      </c>
      <c r="E1264" s="8">
        <v>252046.06</v>
      </c>
      <c r="F1264" s="8">
        <v>5158363.3499999996</v>
      </c>
      <c r="G1264" s="7">
        <v>47264</v>
      </c>
      <c r="H1264" s="1" t="s">
        <v>30</v>
      </c>
      <c r="I1264" s="1" t="str">
        <f>IF(G1264&lt;=$K$1,"Pagado","Pendiente")</f>
        <v>Pendiente</v>
      </c>
    </row>
    <row r="1265" spans="1:9" s="10" customFormat="1" hidden="1">
      <c r="A1265" s="9">
        <v>885417400</v>
      </c>
      <c r="B1265" s="9">
        <v>1</v>
      </c>
      <c r="C1265" s="13">
        <v>27777777.777777776</v>
      </c>
      <c r="D1265" s="13">
        <v>15576037.800000001</v>
      </c>
      <c r="E1265" s="13">
        <f>+D1265*0.12</f>
        <v>1869124.5360000001</v>
      </c>
      <c r="F1265" s="13">
        <f>+C1265+D1265+E1265</f>
        <v>45222940.113777772</v>
      </c>
      <c r="G1265" s="11">
        <v>45772</v>
      </c>
      <c r="H1265" s="10" t="s">
        <v>24</v>
      </c>
      <c r="I1265" s="1" t="str">
        <f>IF(G1265&lt;=$K$1,"Pagado","Pendiente")</f>
        <v>Pagado</v>
      </c>
    </row>
    <row r="1266" spans="1:9" s="10" customFormat="1" hidden="1">
      <c r="A1266" s="9">
        <v>885417400</v>
      </c>
      <c r="B1266" s="9">
        <v>2</v>
      </c>
      <c r="C1266" s="13">
        <v>27777777.777777776</v>
      </c>
      <c r="D1266" s="13">
        <v>16372733.52876984</v>
      </c>
      <c r="E1266" s="13">
        <v>1964728.0234523807</v>
      </c>
      <c r="F1266" s="13">
        <v>46115239.329999998</v>
      </c>
      <c r="G1266" s="11">
        <v>45802</v>
      </c>
      <c r="H1266" s="10" t="s">
        <v>24</v>
      </c>
      <c r="I1266" s="1" t="str">
        <f>IF(G1266&lt;=$K$1,"Pagado","Pendiente")</f>
        <v>Pagado</v>
      </c>
    </row>
    <row r="1267" spans="1:9" s="10" customFormat="1" hidden="1">
      <c r="A1267" s="9">
        <v>885417400</v>
      </c>
      <c r="B1267" s="9">
        <v>3</v>
      </c>
      <c r="C1267" s="13">
        <v>27777777.777777776</v>
      </c>
      <c r="D1267" s="13">
        <v>13585185.185185185</v>
      </c>
      <c r="E1267" s="13">
        <v>1630222.2222222222</v>
      </c>
      <c r="F1267" s="13">
        <v>42993185.185185187</v>
      </c>
      <c r="G1267" s="11">
        <v>45833</v>
      </c>
      <c r="H1267" s="10" t="s">
        <v>24</v>
      </c>
      <c r="I1267" s="1" t="str">
        <f>IF(G1267&lt;=$K$1,"Pagado","Pendiente")</f>
        <v>Pagado</v>
      </c>
    </row>
    <row r="1268" spans="1:9" hidden="1">
      <c r="A1268" s="2">
        <v>885417400</v>
      </c>
      <c r="B1268" s="2">
        <v>4</v>
      </c>
      <c r="C1268" s="8">
        <v>27777777.777777776</v>
      </c>
      <c r="D1268" s="8">
        <v>12736111.11111111</v>
      </c>
      <c r="E1268" s="8">
        <v>1528333.3333333333</v>
      </c>
      <c r="F1268" s="8">
        <v>42042222.222222216</v>
      </c>
      <c r="G1268" s="7">
        <v>45863</v>
      </c>
      <c r="H1268" s="1" t="s">
        <v>24</v>
      </c>
      <c r="I1268" s="1" t="str">
        <f>IF(G1268&lt;=$K$1,"Pagado","Pendiente")</f>
        <v>Pagado</v>
      </c>
    </row>
    <row r="1269" spans="1:9" hidden="1">
      <c r="A1269" s="2">
        <v>885417400</v>
      </c>
      <c r="B1269" s="2">
        <v>5</v>
      </c>
      <c r="C1269" s="8">
        <v>27777777.777777776</v>
      </c>
      <c r="D1269" s="8">
        <v>13311776.573412698</v>
      </c>
      <c r="E1269" s="8">
        <v>1597413.1888095236</v>
      </c>
      <c r="F1269" s="8">
        <f>+C1269+D1269+E1269</f>
        <v>42686967.539999999</v>
      </c>
      <c r="G1269" s="7">
        <v>45894</v>
      </c>
      <c r="H1269" s="1" t="s">
        <v>24</v>
      </c>
      <c r="I1269" s="1" t="str">
        <f>IF(G1269&lt;=$K$1,"Pagado","Pendiente")</f>
        <v>Pagado</v>
      </c>
    </row>
    <row r="1270" spans="1:9" hidden="1">
      <c r="A1270" s="2">
        <v>843950300</v>
      </c>
      <c r="B1270" s="2">
        <v>56</v>
      </c>
      <c r="C1270" s="8">
        <v>6774412.5099999998</v>
      </c>
      <c r="D1270" s="8">
        <v>1000956.89</v>
      </c>
      <c r="E1270" s="8">
        <f>+F1270-D1270-C1270</f>
        <v>120114.8200000003</v>
      </c>
      <c r="F1270" s="8">
        <v>7895484.2199999997</v>
      </c>
      <c r="G1270" s="7">
        <v>47265</v>
      </c>
      <c r="H1270" s="1" t="s">
        <v>24</v>
      </c>
      <c r="I1270" s="1" t="str">
        <f>IF(G1270&lt;=$K$1,"Pagado","Pendiente")</f>
        <v>Pendiente</v>
      </c>
    </row>
    <row r="1271" spans="1:9" hidden="1">
      <c r="A1271" s="2">
        <v>31295</v>
      </c>
      <c r="B1271" s="2">
        <v>53</v>
      </c>
      <c r="C1271" s="8">
        <v>5843636.4000000004</v>
      </c>
      <c r="D1271" s="8">
        <v>1416383.82</v>
      </c>
      <c r="E1271" s="8">
        <v>169966.06</v>
      </c>
      <c r="F1271" s="8">
        <v>7429986.2800000003</v>
      </c>
      <c r="G1271" s="7">
        <v>47265</v>
      </c>
      <c r="H1271" s="1" t="s">
        <v>35</v>
      </c>
      <c r="I1271" s="1" t="str">
        <f>IF(G1271&lt;=$K$1,"Pagado","Pendiente")</f>
        <v>Pendiente</v>
      </c>
    </row>
    <row r="1272" spans="1:9" hidden="1">
      <c r="A1272" s="2">
        <v>66235635</v>
      </c>
      <c r="B1272" s="2">
        <v>59</v>
      </c>
      <c r="C1272" s="8">
        <v>7916666.6699999999</v>
      </c>
      <c r="D1272" s="8">
        <v>357876.71</v>
      </c>
      <c r="E1272" s="8">
        <v>42945.200000000186</v>
      </c>
      <c r="F1272" s="8">
        <v>8317488.5800000001</v>
      </c>
      <c r="G1272" s="7">
        <v>47271</v>
      </c>
      <c r="H1272" s="1" t="s">
        <v>26</v>
      </c>
      <c r="I1272" s="1" t="str">
        <f>IF(G1272&lt;=$K$1,"Pagado","Pendiente")</f>
        <v>Pendiente</v>
      </c>
    </row>
    <row r="1273" spans="1:9" hidden="1">
      <c r="A1273" s="2">
        <v>22044</v>
      </c>
      <c r="B1273" s="2">
        <v>70</v>
      </c>
      <c r="C1273" s="8">
        <v>2500165.0465736156</v>
      </c>
      <c r="D1273" s="8">
        <v>231832.80427363212</v>
      </c>
      <c r="E1273" s="8">
        <v>27819.936512835855</v>
      </c>
      <c r="F1273" s="8">
        <v>2759817.7873600838</v>
      </c>
      <c r="G1273" s="7">
        <v>47271</v>
      </c>
      <c r="H1273" s="1" t="s">
        <v>31</v>
      </c>
      <c r="I1273" s="1" t="str">
        <f>IF(G1273&lt;=$K$1,"Pagado","Pendiente")</f>
        <v>Pendiente</v>
      </c>
    </row>
    <row r="1274" spans="1:9" hidden="1">
      <c r="A1274" s="2">
        <v>119980</v>
      </c>
      <c r="B1274" s="2">
        <v>55</v>
      </c>
      <c r="C1274" s="8">
        <v>14166666.67</v>
      </c>
      <c r="D1274" s="8">
        <v>2310136.98</v>
      </c>
      <c r="E1274" s="8">
        <f>+F1274-D1274-C1274</f>
        <v>277216.4299999997</v>
      </c>
      <c r="F1274" s="8">
        <v>16754020.08</v>
      </c>
      <c r="G1274" s="7">
        <v>47273</v>
      </c>
      <c r="H1274" s="1" t="s">
        <v>26</v>
      </c>
      <c r="I1274" s="1" t="str">
        <f>IF(G1274&lt;=$K$1,"Pagado","Pendiente")</f>
        <v>Pendiente</v>
      </c>
    </row>
    <row r="1275" spans="1:9" hidden="1">
      <c r="A1275" s="2">
        <v>23996</v>
      </c>
      <c r="B1275" s="2">
        <v>47</v>
      </c>
      <c r="C1275" s="8">
        <v>3262193.97</v>
      </c>
      <c r="D1275" s="8">
        <v>7294607.96</v>
      </c>
      <c r="E1275" s="8">
        <v>876082.42</v>
      </c>
      <c r="F1275" s="8">
        <f>+C1275+D1275+E1275</f>
        <v>11432884.35</v>
      </c>
      <c r="G1275" s="7">
        <v>47282</v>
      </c>
      <c r="H1275" s="1" t="s">
        <v>31</v>
      </c>
      <c r="I1275" s="1" t="str">
        <f>IF(G1275&lt;=$K$1,"Pagado","Pendiente")</f>
        <v>Pendiente</v>
      </c>
    </row>
    <row r="1276" spans="1:9" hidden="1">
      <c r="A1276" s="2">
        <v>927328</v>
      </c>
      <c r="B1276" s="2">
        <v>56</v>
      </c>
      <c r="C1276" s="8">
        <v>12420566.729967643</v>
      </c>
      <c r="D1276" s="8">
        <v>1626452.913498278</v>
      </c>
      <c r="E1276" s="8">
        <v>195174.34961979336</v>
      </c>
      <c r="F1276" s="8">
        <v>14242193.993085714</v>
      </c>
      <c r="G1276" s="7">
        <v>47286</v>
      </c>
      <c r="H1276" s="1" t="s">
        <v>32</v>
      </c>
      <c r="I1276" s="1" t="str">
        <f>IF(G1276&lt;=$K$1,"Pagado","Pendiente")</f>
        <v>Pendiente</v>
      </c>
    </row>
    <row r="1277" spans="1:9" hidden="1">
      <c r="A1277" s="2">
        <v>75472831</v>
      </c>
      <c r="B1277" s="2">
        <v>56</v>
      </c>
      <c r="C1277" s="8">
        <v>2083333.33</v>
      </c>
      <c r="D1277" s="8">
        <v>292237.45</v>
      </c>
      <c r="E1277" s="8">
        <f>+F1277-D1277-C1277</f>
        <v>35068.489999999758</v>
      </c>
      <c r="F1277" s="8">
        <v>2410639.27</v>
      </c>
      <c r="G1277" s="7">
        <v>47286</v>
      </c>
      <c r="H1277" s="1" t="s">
        <v>26</v>
      </c>
      <c r="I1277" s="1" t="str">
        <f>IF(G1277&lt;=$K$1,"Pagado","Pendiente")</f>
        <v>Pendiente</v>
      </c>
    </row>
    <row r="1278" spans="1:9" hidden="1">
      <c r="A1278" s="2">
        <v>863502400</v>
      </c>
      <c r="B1278" s="2">
        <v>54</v>
      </c>
      <c r="C1278" s="8">
        <v>8231536.8399999999</v>
      </c>
      <c r="D1278" s="8">
        <v>1790050.39</v>
      </c>
      <c r="E1278" s="8">
        <v>214806.05</v>
      </c>
      <c r="F1278" s="8">
        <v>10236393.279999999</v>
      </c>
      <c r="G1278" s="7">
        <v>47286</v>
      </c>
      <c r="H1278" s="1" t="s">
        <v>24</v>
      </c>
      <c r="I1278" s="1" t="str">
        <f>IF(G1278&lt;=$K$1,"Pagado","Pendiente")</f>
        <v>Pendiente</v>
      </c>
    </row>
    <row r="1279" spans="1:9" hidden="1">
      <c r="A1279" s="2">
        <v>863502600</v>
      </c>
      <c r="B1279" s="2">
        <v>54</v>
      </c>
      <c r="C1279" s="8">
        <v>4257691.46</v>
      </c>
      <c r="D1279" s="8">
        <v>925888.14</v>
      </c>
      <c r="E1279" s="8">
        <v>111106.57</v>
      </c>
      <c r="F1279" s="8">
        <v>5294686.17</v>
      </c>
      <c r="G1279" s="7">
        <v>47286</v>
      </c>
      <c r="H1279" s="1" t="s">
        <v>24</v>
      </c>
      <c r="I1279" s="1" t="str">
        <f>IF(G1279&lt;=$K$1,"Pagado","Pendiente")</f>
        <v>Pendiente</v>
      </c>
    </row>
    <row r="1280" spans="1:9" hidden="1">
      <c r="A1280" s="2">
        <v>24004</v>
      </c>
      <c r="B1280" s="2">
        <v>47</v>
      </c>
      <c r="C1280" s="8">
        <v>3635835.88</v>
      </c>
      <c r="D1280" s="8">
        <v>2138673.69</v>
      </c>
      <c r="E1280" s="8">
        <v>256854.72</v>
      </c>
      <c r="F1280" s="8">
        <v>6031364.29</v>
      </c>
      <c r="G1280" s="7">
        <v>47286</v>
      </c>
      <c r="H1280" s="1" t="s">
        <v>31</v>
      </c>
      <c r="I1280" s="1" t="str">
        <f>IF(G1280&lt;=$K$1,"Pagado","Pendiente")</f>
        <v>Pendiente</v>
      </c>
    </row>
    <row r="1281" spans="1:9" hidden="1">
      <c r="A1281" s="2">
        <v>65210751</v>
      </c>
      <c r="B1281" s="2">
        <v>60</v>
      </c>
      <c r="C1281" s="8">
        <v>8958333.3300000001</v>
      </c>
      <c r="D1281" s="8">
        <v>190211.19</v>
      </c>
      <c r="E1281" s="8">
        <v>22825.339999999851</v>
      </c>
      <c r="F1281" s="8">
        <v>9171369.8599999994</v>
      </c>
      <c r="G1281" s="7">
        <v>47287</v>
      </c>
      <c r="H1281" s="1" t="s">
        <v>26</v>
      </c>
      <c r="I1281" s="1" t="str">
        <f>IF(G1281&lt;=$K$1,"Pagado","Pendiente")</f>
        <v>Pendiente</v>
      </c>
    </row>
    <row r="1282" spans="1:9" hidden="1">
      <c r="A1282" s="2">
        <v>23790</v>
      </c>
      <c r="B1282" s="2">
        <v>1</v>
      </c>
      <c r="C1282" s="8">
        <v>7951484.0946653597</v>
      </c>
      <c r="D1282" s="8">
        <v>14843750</v>
      </c>
      <c r="E1282" s="8">
        <v>1781250</v>
      </c>
      <c r="F1282" s="8">
        <v>24576484.09466536</v>
      </c>
      <c r="G1282" s="7">
        <v>45764</v>
      </c>
      <c r="H1282" s="1" t="s">
        <v>31</v>
      </c>
      <c r="I1282" s="1" t="str">
        <f>IF(G1282&lt;=$K$1,"Pagado","Pendiente")</f>
        <v>Pagado</v>
      </c>
    </row>
    <row r="1283" spans="1:9" s="10" customFormat="1" hidden="1">
      <c r="A1283" s="9">
        <v>23790</v>
      </c>
      <c r="B1283" s="9">
        <v>2</v>
      </c>
      <c r="C1283" s="13">
        <v>8187543.7787257377</v>
      </c>
      <c r="D1283" s="13">
        <v>14607690.315939622</v>
      </c>
      <c r="E1283" s="13">
        <v>1752922.8379127546</v>
      </c>
      <c r="F1283" s="13">
        <v>24548156.932578113</v>
      </c>
      <c r="G1283" s="11">
        <v>45794</v>
      </c>
      <c r="H1283" s="10" t="s">
        <v>31</v>
      </c>
      <c r="I1283" s="1" t="str">
        <f>IF(G1283&lt;=$K$1,"Pagado","Pendiente")</f>
        <v>Pagado</v>
      </c>
    </row>
    <row r="1284" spans="1:9" hidden="1">
      <c r="A1284" s="2">
        <v>23790</v>
      </c>
      <c r="B1284" s="2">
        <v>3</v>
      </c>
      <c r="C1284" s="8">
        <v>8430611.484656658</v>
      </c>
      <c r="D1284" s="8">
        <v>14364622.610008702</v>
      </c>
      <c r="E1284" s="8">
        <v>1723754.7132010441</v>
      </c>
      <c r="F1284" s="8">
        <v>24518988.807866402</v>
      </c>
      <c r="G1284" s="7">
        <v>45825</v>
      </c>
      <c r="H1284" s="1" t="s">
        <v>31</v>
      </c>
      <c r="I1284" s="1" t="str">
        <f>IF(G1284&lt;=$K$1,"Pagado","Pendiente")</f>
        <v>Pagado</v>
      </c>
    </row>
    <row r="1285" spans="1:9" hidden="1">
      <c r="A1285" s="2">
        <v>23790</v>
      </c>
      <c r="B1285" s="2">
        <v>4</v>
      </c>
      <c r="C1285" s="8">
        <v>8680895.2631074023</v>
      </c>
      <c r="D1285" s="8">
        <v>14114338.831557957</v>
      </c>
      <c r="E1285" s="8">
        <v>1693720.659786955</v>
      </c>
      <c r="F1285" s="8">
        <v>24488954.754452314</v>
      </c>
      <c r="G1285" s="7">
        <v>45855</v>
      </c>
      <c r="H1285" s="1" t="s">
        <v>31</v>
      </c>
      <c r="I1285" s="1" t="str">
        <f>IF(G1285&lt;=$K$1,"Pagado","Pendiente")</f>
        <v>Pagado</v>
      </c>
    </row>
    <row r="1286" spans="1:9" hidden="1">
      <c r="A1286" s="2">
        <v>23790</v>
      </c>
      <c r="B1286" s="2">
        <v>5</v>
      </c>
      <c r="C1286" s="8">
        <v>8938609.3412309028</v>
      </c>
      <c r="D1286" s="8">
        <v>13856624.753434457</v>
      </c>
      <c r="E1286" s="8">
        <v>1662794.9704121349</v>
      </c>
      <c r="F1286" s="8">
        <v>24458029.065077495</v>
      </c>
      <c r="G1286" s="7">
        <v>45886</v>
      </c>
      <c r="H1286" s="1" t="s">
        <v>31</v>
      </c>
      <c r="I1286" s="1" t="str">
        <f>IF(G1286&lt;=$K$1,"Pagado","Pendiente")</f>
        <v>Pagado</v>
      </c>
    </row>
    <row r="1287" spans="1:9" hidden="1">
      <c r="A1287" s="2">
        <v>23430</v>
      </c>
      <c r="B1287" s="2">
        <v>59</v>
      </c>
      <c r="C1287" s="8">
        <v>1979235.98</v>
      </c>
      <c r="D1287" s="8">
        <v>2610188.27</v>
      </c>
      <c r="E1287" s="8">
        <v>313222.59000000003</v>
      </c>
      <c r="F1287" s="8">
        <v>4902646.84</v>
      </c>
      <c r="G1287" s="7">
        <v>47288</v>
      </c>
      <c r="H1287" s="1" t="s">
        <v>31</v>
      </c>
      <c r="I1287" s="1" t="str">
        <f>IF(G1287&lt;=$K$1,"Pagado","Pendiente")</f>
        <v>Pendiente</v>
      </c>
    </row>
    <row r="1288" spans="1:9" hidden="1">
      <c r="A1288" s="2">
        <v>23467</v>
      </c>
      <c r="B1288" s="2">
        <v>58</v>
      </c>
      <c r="C1288" s="8">
        <v>7422135</v>
      </c>
      <c r="G1288" s="7">
        <v>47288</v>
      </c>
      <c r="H1288" s="1" t="s">
        <v>31</v>
      </c>
      <c r="I1288" s="1" t="str">
        <f>IF(G1288&lt;=$K$1,"Pagado","Pendiente")</f>
        <v>Pendiente</v>
      </c>
    </row>
    <row r="1289" spans="1:9" hidden="1">
      <c r="A1289" s="2">
        <v>394949</v>
      </c>
      <c r="B1289" s="2">
        <v>54</v>
      </c>
      <c r="C1289" s="8">
        <v>2885434.82</v>
      </c>
      <c r="D1289" s="8">
        <v>2020882.47</v>
      </c>
      <c r="E1289" s="8">
        <v>242505.88</v>
      </c>
      <c r="F1289" s="8">
        <v>5148823.17</v>
      </c>
      <c r="G1289" s="7">
        <v>47295</v>
      </c>
      <c r="H1289" s="1" t="s">
        <v>30</v>
      </c>
      <c r="I1289" s="1" t="str">
        <f>IF(G1289&lt;=$K$1,"Pagado","Pendiente")</f>
        <v>Pendiente</v>
      </c>
    </row>
    <row r="1290" spans="1:9" hidden="1">
      <c r="A1290" s="2">
        <v>347916</v>
      </c>
      <c r="B1290" s="2">
        <v>60</v>
      </c>
      <c r="C1290" s="8">
        <v>6329905.02163509</v>
      </c>
      <c r="D1290" s="8">
        <v>2123278.7466243366</v>
      </c>
      <c r="E1290" s="8">
        <v>254793.44959492038</v>
      </c>
      <c r="F1290" s="8">
        <v>8707977.2178543471</v>
      </c>
      <c r="G1290" s="7">
        <v>47296</v>
      </c>
      <c r="H1290" s="1" t="s">
        <v>30</v>
      </c>
      <c r="I1290" s="1" t="str">
        <f>IF(G1290&lt;=$K$1,"Pagado","Pendiente")</f>
        <v>Pendiente</v>
      </c>
    </row>
    <row r="1291" spans="1:9" hidden="1">
      <c r="A1291" s="2">
        <v>843950300</v>
      </c>
      <c r="B1291" s="2">
        <v>57</v>
      </c>
      <c r="C1291" s="8">
        <v>6963723.4699999997</v>
      </c>
      <c r="D1291" s="8">
        <v>811645.93</v>
      </c>
      <c r="E1291" s="8">
        <f>+F1291-D1291-C1291</f>
        <v>97397.510000000708</v>
      </c>
      <c r="F1291" s="8">
        <v>7872766.9100000001</v>
      </c>
      <c r="G1291" s="7">
        <v>47296</v>
      </c>
      <c r="H1291" s="1" t="s">
        <v>24</v>
      </c>
      <c r="I1291" s="1" t="str">
        <f>IF(G1291&lt;=$K$1,"Pagado","Pendiente")</f>
        <v>Pendiente</v>
      </c>
    </row>
    <row r="1292" spans="1:9" hidden="1">
      <c r="A1292" s="2">
        <v>31295</v>
      </c>
      <c r="B1292" s="2">
        <v>54</v>
      </c>
      <c r="C1292" s="8">
        <v>6004336.4000000004</v>
      </c>
      <c r="D1292" s="8">
        <v>1255683.82</v>
      </c>
      <c r="E1292" s="8">
        <v>150682.06</v>
      </c>
      <c r="F1292" s="8">
        <v>7410702.2800000003</v>
      </c>
      <c r="G1292" s="7">
        <v>47296</v>
      </c>
      <c r="H1292" s="1" t="s">
        <v>35</v>
      </c>
      <c r="I1292" s="1" t="str">
        <f>IF(G1292&lt;=$K$1,"Pagado","Pendiente")</f>
        <v>Pendiente</v>
      </c>
    </row>
    <row r="1293" spans="1:9" hidden="1">
      <c r="A1293" s="2">
        <v>66235635</v>
      </c>
      <c r="B1293" s="2">
        <v>60</v>
      </c>
      <c r="C1293" s="8">
        <v>7916666.5099999998</v>
      </c>
      <c r="D1293" s="8">
        <v>151826.48000000001</v>
      </c>
      <c r="E1293" s="8">
        <v>18219.179999999702</v>
      </c>
      <c r="F1293" s="8">
        <v>8086712.1699999999</v>
      </c>
      <c r="G1293" s="7">
        <v>47301</v>
      </c>
      <c r="H1293" s="1" t="s">
        <v>26</v>
      </c>
      <c r="I1293" s="1" t="str">
        <f>IF(G1293&lt;=$K$1,"Pagado","Pendiente")</f>
        <v>Pendiente</v>
      </c>
    </row>
    <row r="1294" spans="1:9" hidden="1">
      <c r="A1294" s="2">
        <v>22044</v>
      </c>
      <c r="B1294" s="2">
        <v>71</v>
      </c>
      <c r="C1294" s="8">
        <v>2575169.9979708241</v>
      </c>
      <c r="D1294" s="8">
        <v>156827.85287642365</v>
      </c>
      <c r="E1294" s="8">
        <v>18819.342345170837</v>
      </c>
      <c r="F1294" s="8">
        <v>2750817.1931924187</v>
      </c>
      <c r="G1294" s="7">
        <v>47301</v>
      </c>
      <c r="H1294" s="1" t="s">
        <v>31</v>
      </c>
      <c r="I1294" s="1" t="str">
        <f>IF(G1294&lt;=$K$1,"Pagado","Pendiente")</f>
        <v>Pendiente</v>
      </c>
    </row>
    <row r="1295" spans="1:9" hidden="1">
      <c r="A1295" s="2">
        <v>119980</v>
      </c>
      <c r="B1295" s="2">
        <v>56</v>
      </c>
      <c r="C1295" s="8">
        <v>14166666.67</v>
      </c>
      <c r="D1295" s="8">
        <v>1863013.69</v>
      </c>
      <c r="E1295" s="8">
        <f>+F1295-D1295-C1295</f>
        <v>223561.65000000037</v>
      </c>
      <c r="F1295" s="8">
        <v>16253242.01</v>
      </c>
      <c r="G1295" s="7">
        <v>47303</v>
      </c>
      <c r="H1295" s="1" t="s">
        <v>26</v>
      </c>
      <c r="I1295" s="1" t="str">
        <f>IF(G1295&lt;=$K$1,"Pagado","Pendiente")</f>
        <v>Pendiente</v>
      </c>
    </row>
    <row r="1296" spans="1:9" hidden="1">
      <c r="A1296" s="2">
        <v>23996</v>
      </c>
      <c r="B1296" s="2">
        <v>48</v>
      </c>
      <c r="C1296" s="8">
        <v>3364584.4</v>
      </c>
      <c r="D1296" s="8">
        <v>7192217.5300000003</v>
      </c>
      <c r="E1296" s="8">
        <v>863785.32</v>
      </c>
      <c r="F1296" s="8">
        <f>+C1296+D1296+E1296</f>
        <v>11420587.25</v>
      </c>
      <c r="G1296" s="7">
        <v>47312</v>
      </c>
      <c r="H1296" s="1" t="s">
        <v>31</v>
      </c>
      <c r="I1296" s="1" t="str">
        <f>IF(G1296&lt;=$K$1,"Pagado","Pendiente")</f>
        <v>Pendiente</v>
      </c>
    </row>
    <row r="1297" spans="1:9" hidden="1">
      <c r="A1297" s="2">
        <v>927328</v>
      </c>
      <c r="B1297" s="2">
        <v>57</v>
      </c>
      <c r="C1297" s="8">
        <v>12730045.850989338</v>
      </c>
      <c r="D1297" s="8">
        <v>1316973.7924765842</v>
      </c>
      <c r="E1297" s="8">
        <v>158036.8550971901</v>
      </c>
      <c r="F1297" s="8">
        <v>14205056.498563113</v>
      </c>
      <c r="G1297" s="7">
        <v>47316</v>
      </c>
      <c r="H1297" s="1" t="s">
        <v>32</v>
      </c>
      <c r="I1297" s="1" t="str">
        <f>IF(G1297&lt;=$K$1,"Pagado","Pendiente")</f>
        <v>Pendiente</v>
      </c>
    </row>
    <row r="1298" spans="1:9" hidden="1">
      <c r="A1298" s="2">
        <v>75472831</v>
      </c>
      <c r="B1298" s="2">
        <v>57</v>
      </c>
      <c r="C1298" s="8">
        <v>2083333.33</v>
      </c>
      <c r="D1298" s="8">
        <v>211872.15</v>
      </c>
      <c r="E1298" s="8">
        <f>+F1298-D1298-C1298</f>
        <v>25424.660000000149</v>
      </c>
      <c r="F1298" s="8">
        <v>2320630.14</v>
      </c>
      <c r="G1298" s="7">
        <v>47316</v>
      </c>
      <c r="H1298" s="1" t="s">
        <v>26</v>
      </c>
      <c r="I1298" s="1" t="str">
        <f>IF(G1298&lt;=$K$1,"Pagado","Pendiente")</f>
        <v>Pendiente</v>
      </c>
    </row>
    <row r="1299" spans="1:9" hidden="1">
      <c r="A1299" s="2">
        <v>863502400</v>
      </c>
      <c r="B1299" s="2">
        <v>55</v>
      </c>
      <c r="C1299" s="8">
        <v>8461567.1400000006</v>
      </c>
      <c r="D1299" s="8">
        <v>1560020.09</v>
      </c>
      <c r="E1299" s="8">
        <v>187202.41</v>
      </c>
      <c r="F1299" s="8">
        <v>10208789.640000001</v>
      </c>
      <c r="G1299" s="7">
        <v>47316</v>
      </c>
      <c r="H1299" s="1" t="s">
        <v>24</v>
      </c>
      <c r="I1299" s="1" t="str">
        <f>IF(G1299&lt;=$K$1,"Pagado","Pendiente")</f>
        <v>Pendiente</v>
      </c>
    </row>
    <row r="1300" spans="1:9" hidden="1">
      <c r="A1300" s="2">
        <v>863502600</v>
      </c>
      <c r="B1300" s="2">
        <v>55</v>
      </c>
      <c r="C1300" s="8">
        <v>4376672.6500000004</v>
      </c>
      <c r="D1300" s="8">
        <v>806906.95</v>
      </c>
      <c r="E1300" s="8">
        <v>96828.83</v>
      </c>
      <c r="F1300" s="8">
        <v>5280408.43</v>
      </c>
      <c r="G1300" s="7">
        <v>47316</v>
      </c>
      <c r="H1300" s="1" t="s">
        <v>24</v>
      </c>
      <c r="I1300" s="1" t="str">
        <f>IF(G1300&lt;=$K$1,"Pagado","Pendiente")</f>
        <v>Pendiente</v>
      </c>
    </row>
    <row r="1301" spans="1:9" hidden="1">
      <c r="A1301" s="2">
        <v>24004</v>
      </c>
      <c r="B1301" s="2">
        <v>48</v>
      </c>
      <c r="C1301" s="8">
        <v>3757985.02</v>
      </c>
      <c r="D1301" s="8">
        <v>2016524.55</v>
      </c>
      <c r="E1301" s="8">
        <v>242184.6</v>
      </c>
      <c r="F1301" s="8">
        <v>6016694.1699999999</v>
      </c>
      <c r="G1301" s="7">
        <v>47316</v>
      </c>
      <c r="H1301" s="1" t="s">
        <v>31</v>
      </c>
      <c r="I1301" s="1" t="str">
        <f>IF(G1301&lt;=$K$1,"Pagado","Pendiente")</f>
        <v>Pendiente</v>
      </c>
    </row>
    <row r="1302" spans="1:9" hidden="1">
      <c r="A1302" s="2">
        <v>23430</v>
      </c>
      <c r="B1302" s="2">
        <v>60</v>
      </c>
      <c r="C1302" s="8">
        <v>2044306.75</v>
      </c>
      <c r="D1302" s="8">
        <v>2545117.5</v>
      </c>
      <c r="E1302" s="8">
        <v>305414.09999999998</v>
      </c>
      <c r="F1302" s="8">
        <v>4894838.3499999996</v>
      </c>
      <c r="G1302" s="7">
        <v>47318</v>
      </c>
      <c r="H1302" s="1" t="s">
        <v>31</v>
      </c>
      <c r="I1302" s="1" t="str">
        <f>IF(G1302&lt;=$K$1,"Pagado","Pendiente")</f>
        <v>Pendiente</v>
      </c>
    </row>
    <row r="1303" spans="1:9" hidden="1">
      <c r="A1303" s="2">
        <v>23467</v>
      </c>
      <c r="B1303" s="2">
        <v>59</v>
      </c>
      <c r="C1303" s="8">
        <v>7666150.4000000004</v>
      </c>
      <c r="G1303" s="7">
        <v>47318</v>
      </c>
      <c r="H1303" s="1" t="s">
        <v>31</v>
      </c>
      <c r="I1303" s="1" t="str">
        <f>IF(G1303&lt;=$K$1,"Pagado","Pendiente")</f>
        <v>Pendiente</v>
      </c>
    </row>
    <row r="1304" spans="1:9" hidden="1">
      <c r="A1304" s="2">
        <v>394949</v>
      </c>
      <c r="B1304" s="2">
        <v>55</v>
      </c>
      <c r="C1304" s="8">
        <v>2967188.81</v>
      </c>
      <c r="D1304" s="8">
        <v>1939128.48</v>
      </c>
      <c r="E1304" s="8">
        <v>232695.41</v>
      </c>
      <c r="F1304" s="8">
        <v>5139012.7</v>
      </c>
      <c r="G1304" s="7">
        <v>47325</v>
      </c>
      <c r="H1304" s="1" t="s">
        <v>30</v>
      </c>
      <c r="I1304" s="1" t="str">
        <f>IF(G1304&lt;=$K$1,"Pagado","Pendiente")</f>
        <v>Pendiente</v>
      </c>
    </row>
    <row r="1305" spans="1:9" hidden="1">
      <c r="A1305" s="2">
        <v>347916</v>
      </c>
      <c r="B1305" s="2">
        <v>61</v>
      </c>
      <c r="C1305" s="8">
        <v>6472327.8846218791</v>
      </c>
      <c r="D1305" s="8">
        <v>1980855.883637547</v>
      </c>
      <c r="E1305" s="8">
        <v>237702.70603650564</v>
      </c>
      <c r="F1305" s="8">
        <v>8690886.4742959309</v>
      </c>
      <c r="G1305" s="7">
        <v>47326</v>
      </c>
      <c r="H1305" s="1" t="s">
        <v>30</v>
      </c>
      <c r="I1305" s="1" t="str">
        <f>IF(G1305&lt;=$K$1,"Pagado","Pendiente")</f>
        <v>Pendiente</v>
      </c>
    </row>
    <row r="1306" spans="1:9" hidden="1">
      <c r="A1306" s="2">
        <v>843950300</v>
      </c>
      <c r="B1306" s="2">
        <v>58</v>
      </c>
      <c r="C1306" s="8">
        <v>7158324.7199999997</v>
      </c>
      <c r="D1306" s="8">
        <v>617044.68000000005</v>
      </c>
      <c r="E1306" s="8">
        <f>+F1306-D1306-C1306</f>
        <v>74045.360000000335</v>
      </c>
      <c r="F1306" s="8">
        <v>7849414.7599999998</v>
      </c>
      <c r="G1306" s="7">
        <v>47326</v>
      </c>
      <c r="H1306" s="1" t="s">
        <v>24</v>
      </c>
      <c r="I1306" s="1" t="str">
        <f>IF(G1306&lt;=$K$1,"Pagado","Pendiente")</f>
        <v>Pendiente</v>
      </c>
    </row>
    <row r="1307" spans="1:9" hidden="1">
      <c r="A1307" s="2">
        <v>31295</v>
      </c>
      <c r="B1307" s="2">
        <v>55</v>
      </c>
      <c r="C1307" s="8">
        <v>6169455.6500000004</v>
      </c>
      <c r="D1307" s="8">
        <v>1090564.57</v>
      </c>
      <c r="E1307" s="8">
        <v>130867.75</v>
      </c>
      <c r="F1307" s="8">
        <v>7390887.9699999997</v>
      </c>
      <c r="G1307" s="7">
        <v>47326</v>
      </c>
      <c r="H1307" s="1" t="s">
        <v>35</v>
      </c>
      <c r="I1307" s="1" t="str">
        <f>IF(G1307&lt;=$K$1,"Pagado","Pendiente")</f>
        <v>Pendiente</v>
      </c>
    </row>
    <row r="1308" spans="1:9" hidden="1">
      <c r="A1308" s="2">
        <v>22044</v>
      </c>
      <c r="B1308" s="2">
        <v>72</v>
      </c>
      <c r="C1308" s="8">
        <v>2652425.0979099493</v>
      </c>
      <c r="D1308" s="8">
        <v>79572.752937298937</v>
      </c>
      <c r="E1308" s="8">
        <v>9548.7303524758718</v>
      </c>
      <c r="F1308" s="8">
        <v>2741546.5811997242</v>
      </c>
      <c r="G1308" s="7">
        <v>47332</v>
      </c>
      <c r="H1308" s="1" t="s">
        <v>31</v>
      </c>
      <c r="I1308" s="1" t="str">
        <f>IF(G1308&lt;=$K$1,"Pagado","Pendiente")</f>
        <v>Pendiente</v>
      </c>
    </row>
    <row r="1309" spans="1:9" hidden="1">
      <c r="A1309" s="2">
        <v>119980</v>
      </c>
      <c r="B1309" s="2">
        <v>57</v>
      </c>
      <c r="C1309" s="8">
        <v>14166666.67</v>
      </c>
      <c r="D1309" s="8">
        <v>1639452.05</v>
      </c>
      <c r="E1309" s="8">
        <f>+F1309-D1309-C1309</f>
        <v>196734.25</v>
      </c>
      <c r="F1309" s="8">
        <v>16002852.970000001</v>
      </c>
      <c r="G1309" s="7">
        <v>47334</v>
      </c>
      <c r="H1309" s="1" t="s">
        <v>26</v>
      </c>
      <c r="I1309" s="1" t="str">
        <f>IF(G1309&lt;=$K$1,"Pagado","Pendiente")</f>
        <v>Pendiente</v>
      </c>
    </row>
    <row r="1310" spans="1:9" hidden="1">
      <c r="A1310" s="2">
        <v>23996</v>
      </c>
      <c r="B1310" s="2">
        <v>49</v>
      </c>
      <c r="C1310" s="8">
        <v>3470188.57</v>
      </c>
      <c r="D1310" s="8">
        <v>7086613.3600000003</v>
      </c>
      <c r="E1310" s="8">
        <v>851102.26</v>
      </c>
      <c r="F1310" s="8">
        <f>+C1310+D1310+E1310</f>
        <v>11407904.189999999</v>
      </c>
      <c r="G1310" s="7">
        <v>47343</v>
      </c>
      <c r="H1310" s="1" t="s">
        <v>31</v>
      </c>
      <c r="I1310" s="1" t="str">
        <f>IF(G1310&lt;=$K$1,"Pagado","Pendiente")</f>
        <v>Pendiente</v>
      </c>
    </row>
    <row r="1311" spans="1:9" hidden="1">
      <c r="A1311" s="2">
        <v>927328</v>
      </c>
      <c r="B1311" s="2">
        <v>58</v>
      </c>
      <c r="C1311" s="8">
        <v>13047236.160109822</v>
      </c>
      <c r="D1311" s="8">
        <v>999783.48335609981</v>
      </c>
      <c r="E1311" s="8">
        <v>119974.01800273197</v>
      </c>
      <c r="F1311" s="8">
        <v>14166993.661468653</v>
      </c>
      <c r="G1311" s="7">
        <v>47347</v>
      </c>
      <c r="H1311" s="1" t="s">
        <v>32</v>
      </c>
      <c r="I1311" s="1" t="str">
        <f>IF(G1311&lt;=$K$1,"Pagado","Pendiente")</f>
        <v>Pendiente</v>
      </c>
    </row>
    <row r="1312" spans="1:9" hidden="1">
      <c r="A1312" s="2">
        <v>75472831</v>
      </c>
      <c r="B1312" s="2">
        <v>58</v>
      </c>
      <c r="C1312" s="8">
        <v>2083333.33</v>
      </c>
      <c r="D1312" s="8">
        <v>169863.02</v>
      </c>
      <c r="E1312" s="8">
        <f>+F1312-D1312-C1312</f>
        <v>20383.569999999832</v>
      </c>
      <c r="F1312" s="8">
        <v>2273579.92</v>
      </c>
      <c r="G1312" s="7">
        <v>47347</v>
      </c>
      <c r="H1312" s="1" t="s">
        <v>26</v>
      </c>
      <c r="I1312" s="1" t="str">
        <f>IF(G1312&lt;=$K$1,"Pagado","Pendiente")</f>
        <v>Pendiente</v>
      </c>
    </row>
    <row r="1313" spans="1:9" hidden="1">
      <c r="A1313" s="2">
        <v>863502400</v>
      </c>
      <c r="B1313" s="2">
        <v>56</v>
      </c>
      <c r="C1313" s="8">
        <v>8698025.6300000008</v>
      </c>
      <c r="D1313" s="8">
        <v>1323561.6000000001</v>
      </c>
      <c r="E1313" s="8">
        <v>158827.39000000001</v>
      </c>
      <c r="F1313" s="8">
        <v>10180414.619999999</v>
      </c>
      <c r="G1313" s="7">
        <v>47347</v>
      </c>
      <c r="H1313" s="1" t="s">
        <v>24</v>
      </c>
      <c r="I1313" s="1" t="str">
        <f>IF(G1313&lt;=$K$1,"Pagado","Pendiente")</f>
        <v>Pendiente</v>
      </c>
    </row>
    <row r="1314" spans="1:9" hidden="1">
      <c r="A1314" s="2">
        <v>863502600</v>
      </c>
      <c r="B1314" s="2">
        <v>56</v>
      </c>
      <c r="C1314" s="8">
        <v>4498978.7699999996</v>
      </c>
      <c r="D1314" s="8">
        <v>684600.83</v>
      </c>
      <c r="E1314" s="8">
        <v>82152.100000000006</v>
      </c>
      <c r="F1314" s="8">
        <v>5265731.7</v>
      </c>
      <c r="G1314" s="7">
        <v>47347</v>
      </c>
      <c r="H1314" s="1" t="s">
        <v>24</v>
      </c>
      <c r="I1314" s="1" t="str">
        <f>IF(G1314&lt;=$K$1,"Pagado","Pendiente")</f>
        <v>Pendiente</v>
      </c>
    </row>
    <row r="1315" spans="1:9" hidden="1">
      <c r="A1315" s="2">
        <v>24004</v>
      </c>
      <c r="B1315" s="2">
        <v>49</v>
      </c>
      <c r="C1315" s="8">
        <v>3884237.87</v>
      </c>
      <c r="D1315" s="8">
        <v>1890271.7</v>
      </c>
      <c r="E1315" s="8">
        <v>227021.64</v>
      </c>
      <c r="F1315" s="8">
        <v>6001531.21</v>
      </c>
      <c r="G1315" s="7">
        <v>47347</v>
      </c>
      <c r="H1315" s="1" t="s">
        <v>31</v>
      </c>
      <c r="I1315" s="1" t="str">
        <f>IF(G1315&lt;=$K$1,"Pagado","Pendiente")</f>
        <v>Pendiente</v>
      </c>
    </row>
    <row r="1316" spans="1:9" hidden="1">
      <c r="A1316" s="2">
        <v>23430</v>
      </c>
      <c r="B1316" s="2">
        <v>61</v>
      </c>
      <c r="C1316" s="8">
        <v>2111516.83</v>
      </c>
      <c r="D1316" s="8">
        <v>2477907.42</v>
      </c>
      <c r="E1316" s="8">
        <v>297348.89</v>
      </c>
      <c r="F1316" s="8">
        <v>4886773.1399999997</v>
      </c>
      <c r="G1316" s="7">
        <v>47349</v>
      </c>
      <c r="H1316" s="1" t="s">
        <v>31</v>
      </c>
      <c r="I1316" s="1" t="str">
        <f>IF(G1316&lt;=$K$1,"Pagado","Pendiente")</f>
        <v>Pendiente</v>
      </c>
    </row>
    <row r="1317" spans="1:9" hidden="1">
      <c r="A1317" s="2">
        <v>23467</v>
      </c>
      <c r="B1317" s="2">
        <v>60</v>
      </c>
      <c r="C1317" s="8">
        <v>7918188.2199999997</v>
      </c>
      <c r="G1317" s="7">
        <v>47349</v>
      </c>
      <c r="H1317" s="1" t="s">
        <v>31</v>
      </c>
      <c r="I1317" s="1" t="str">
        <f>IF(G1317&lt;=$K$1,"Pagado","Pendiente")</f>
        <v>Pendiente</v>
      </c>
    </row>
    <row r="1318" spans="1:9" hidden="1">
      <c r="A1318" s="2">
        <v>85223302</v>
      </c>
      <c r="B1318" s="2">
        <v>1</v>
      </c>
      <c r="C1318" s="8">
        <v>36299340.000000477</v>
      </c>
      <c r="D1318" s="8">
        <v>438617.02500000002</v>
      </c>
      <c r="E1318" s="8">
        <v>52634.043000000005</v>
      </c>
      <c r="F1318" s="8">
        <v>36790591.068000481</v>
      </c>
      <c r="G1318" s="7">
        <v>45897</v>
      </c>
      <c r="H1318" s="1" t="s">
        <v>36</v>
      </c>
      <c r="I1318" s="1" t="str">
        <f>IF(G1318&lt;=$K$1,"Pagado","Pendiente")</f>
        <v>Pagado</v>
      </c>
    </row>
    <row r="1319" spans="1:9" hidden="1">
      <c r="A1319" s="2">
        <v>23996</v>
      </c>
      <c r="B1319" s="2">
        <v>1</v>
      </c>
      <c r="C1319" s="8">
        <v>0</v>
      </c>
      <c r="D1319" s="8">
        <v>5963527.5</v>
      </c>
      <c r="E1319" s="8">
        <v>716219.65</v>
      </c>
      <c r="F1319" s="8">
        <f>+C1319+D1319+E1319</f>
        <v>6679747.1500000004</v>
      </c>
      <c r="G1319" s="7">
        <v>45882</v>
      </c>
      <c r="H1319" s="1" t="s">
        <v>31</v>
      </c>
      <c r="I1319" s="1" t="str">
        <f>IF(G1319&lt;=$K$1,"Pagado","Pendiente")</f>
        <v>Pagado</v>
      </c>
    </row>
    <row r="1320" spans="1:9" hidden="1">
      <c r="A1320" s="2">
        <v>394949</v>
      </c>
      <c r="B1320" s="2">
        <v>56</v>
      </c>
      <c r="C1320" s="8">
        <v>3051259.16</v>
      </c>
      <c r="D1320" s="8">
        <v>1855058.13</v>
      </c>
      <c r="E1320" s="8">
        <v>222606.97</v>
      </c>
      <c r="F1320" s="8">
        <v>5128924.26</v>
      </c>
      <c r="G1320" s="7">
        <v>47356</v>
      </c>
      <c r="H1320" s="1" t="s">
        <v>30</v>
      </c>
      <c r="I1320" s="1" t="str">
        <f>IF(G1320&lt;=$K$1,"Pagado","Pendiente")</f>
        <v>Pendiente</v>
      </c>
    </row>
    <row r="1321" spans="1:9" hidden="1">
      <c r="A1321" s="2">
        <v>347916</v>
      </c>
      <c r="B1321" s="2">
        <v>62</v>
      </c>
      <c r="C1321" s="8">
        <v>6617955.2620258722</v>
      </c>
      <c r="D1321" s="8">
        <v>1835228.5062335548</v>
      </c>
      <c r="E1321" s="8">
        <v>220227.42074802658</v>
      </c>
      <c r="F1321" s="8">
        <v>8673411.1890074536</v>
      </c>
      <c r="G1321" s="7">
        <v>47357</v>
      </c>
      <c r="H1321" s="1" t="s">
        <v>30</v>
      </c>
      <c r="I1321" s="1" t="str">
        <f>IF(G1321&lt;=$K$1,"Pagado","Pendiente")</f>
        <v>Pendiente</v>
      </c>
    </row>
    <row r="1322" spans="1:9" hidden="1">
      <c r="A1322" s="2">
        <v>843950300</v>
      </c>
      <c r="B1322" s="2">
        <v>59</v>
      </c>
      <c r="C1322" s="8">
        <v>7358364.1100000003</v>
      </c>
      <c r="D1322" s="8">
        <v>417005.29</v>
      </c>
      <c r="E1322" s="8">
        <f>+F1322-D1322-C1322</f>
        <v>50040.639999999665</v>
      </c>
      <c r="F1322" s="8">
        <v>7825410.04</v>
      </c>
      <c r="G1322" s="7">
        <v>47357</v>
      </c>
      <c r="H1322" s="1" t="s">
        <v>24</v>
      </c>
      <c r="I1322" s="1" t="str">
        <f>IF(G1322&lt;=$K$1,"Pagado","Pendiente")</f>
        <v>Pendiente</v>
      </c>
    </row>
    <row r="1323" spans="1:9" hidden="1">
      <c r="A1323" s="2">
        <v>31295</v>
      </c>
      <c r="B1323" s="2">
        <v>56</v>
      </c>
      <c r="C1323" s="8">
        <v>6339115.6799999997</v>
      </c>
      <c r="D1323" s="8">
        <v>920904.54</v>
      </c>
      <c r="E1323" s="8">
        <v>110508.55</v>
      </c>
      <c r="F1323" s="8">
        <v>7370528.7699999996</v>
      </c>
      <c r="G1323" s="7">
        <v>47357</v>
      </c>
      <c r="H1323" s="1" t="s">
        <v>35</v>
      </c>
      <c r="I1323" s="1" t="str">
        <f>IF(G1323&lt;=$K$1,"Pagado","Pendiente")</f>
        <v>Pendiente</v>
      </c>
    </row>
    <row r="1324" spans="1:9" hidden="1">
      <c r="A1324" s="2">
        <v>119980</v>
      </c>
      <c r="B1324" s="2">
        <v>58</v>
      </c>
      <c r="C1324" s="8">
        <v>14166666.67</v>
      </c>
      <c r="D1324" s="8">
        <v>1080547.94</v>
      </c>
      <c r="E1324" s="8">
        <f>+F1324-D1324-C1324</f>
        <v>129665.75</v>
      </c>
      <c r="F1324" s="8">
        <v>15376880.359999999</v>
      </c>
      <c r="G1324" s="7">
        <v>47365</v>
      </c>
      <c r="H1324" s="1" t="s">
        <v>26</v>
      </c>
      <c r="I1324" s="1" t="str">
        <f>IF(G1324&lt;=$K$1,"Pagado","Pendiente")</f>
        <v>Pendiente</v>
      </c>
    </row>
    <row r="1325" spans="1:9" hidden="1">
      <c r="A1325" s="2">
        <v>23996</v>
      </c>
      <c r="B1325" s="2">
        <v>50</v>
      </c>
      <c r="C1325" s="8">
        <v>3579107.33</v>
      </c>
      <c r="D1325" s="8">
        <v>6977694.5999999996</v>
      </c>
      <c r="E1325" s="8">
        <v>838021.12</v>
      </c>
      <c r="F1325" s="8">
        <f>+C1325+D1325+E1325</f>
        <v>11394823.049999999</v>
      </c>
      <c r="G1325" s="7">
        <v>47374</v>
      </c>
      <c r="H1325" s="1" t="s">
        <v>31</v>
      </c>
      <c r="I1325" s="1" t="str">
        <f>IF(G1325&lt;=$K$1,"Pagado","Pendiente")</f>
        <v>Pendiente</v>
      </c>
    </row>
    <row r="1326" spans="1:9" hidden="1">
      <c r="A1326" s="2">
        <v>927328</v>
      </c>
      <c r="B1326" s="2">
        <v>59</v>
      </c>
      <c r="C1326" s="8">
        <v>13372329.794432558</v>
      </c>
      <c r="D1326" s="8">
        <v>674689.8490333634</v>
      </c>
      <c r="E1326" s="8">
        <v>80962.781884003605</v>
      </c>
      <c r="F1326" s="8">
        <v>14127982.425349925</v>
      </c>
      <c r="G1326" s="7">
        <v>47378</v>
      </c>
      <c r="H1326" s="1" t="s">
        <v>32</v>
      </c>
      <c r="I1326" s="1" t="str">
        <f>IF(G1326&lt;=$K$1,"Pagado","Pendiente")</f>
        <v>Pendiente</v>
      </c>
    </row>
    <row r="1327" spans="1:9" hidden="1">
      <c r="A1327" s="2">
        <v>75472831</v>
      </c>
      <c r="B1327" s="2">
        <v>59</v>
      </c>
      <c r="C1327" s="8">
        <v>2083333.33</v>
      </c>
      <c r="D1327" s="8">
        <v>113242.01</v>
      </c>
      <c r="E1327" s="8">
        <f>+F1327-D1327-C1327</f>
        <v>13589.039999999804</v>
      </c>
      <c r="F1327" s="8">
        <v>2210164.38</v>
      </c>
      <c r="G1327" s="7">
        <v>47378</v>
      </c>
      <c r="H1327" s="1" t="s">
        <v>26</v>
      </c>
      <c r="I1327" s="1" t="str">
        <f>IF(G1327&lt;=$K$1,"Pagado","Pendiente")</f>
        <v>Pendiente</v>
      </c>
    </row>
    <row r="1328" spans="1:9" hidden="1">
      <c r="A1328" s="2">
        <v>863502400</v>
      </c>
      <c r="B1328" s="2">
        <v>57</v>
      </c>
      <c r="C1328" s="8">
        <v>8941091.9600000009</v>
      </c>
      <c r="D1328" s="8">
        <v>1080495.27</v>
      </c>
      <c r="E1328" s="8">
        <v>129659.43</v>
      </c>
      <c r="F1328" s="8">
        <v>10151246.66</v>
      </c>
      <c r="G1328" s="7">
        <v>47378</v>
      </c>
      <c r="H1328" s="1" t="s">
        <v>24</v>
      </c>
      <c r="I1328" s="1" t="str">
        <f>IF(G1328&lt;=$K$1,"Pagado","Pendiente")</f>
        <v>Pendiente</v>
      </c>
    </row>
    <row r="1329" spans="1:9" hidden="1">
      <c r="A1329" s="2">
        <v>863502600</v>
      </c>
      <c r="B1329" s="2">
        <v>57</v>
      </c>
      <c r="C1329" s="8">
        <v>4624702.7300000004</v>
      </c>
      <c r="D1329" s="8">
        <v>558876.87</v>
      </c>
      <c r="E1329" s="8">
        <v>67065.22</v>
      </c>
      <c r="F1329" s="8">
        <v>5250644.82</v>
      </c>
      <c r="G1329" s="7">
        <v>47378</v>
      </c>
      <c r="H1329" s="1" t="s">
        <v>24</v>
      </c>
      <c r="I1329" s="1" t="str">
        <f>IF(G1329&lt;=$K$1,"Pagado","Pendiente")</f>
        <v>Pendiente</v>
      </c>
    </row>
    <row r="1330" spans="1:9" hidden="1">
      <c r="A1330" s="2">
        <v>24004</v>
      </c>
      <c r="B1330" s="2">
        <v>50</v>
      </c>
      <c r="C1330" s="8">
        <v>4014732.3</v>
      </c>
      <c r="D1330" s="8">
        <v>1759777.27</v>
      </c>
      <c r="E1330" s="8">
        <v>211349.25</v>
      </c>
      <c r="F1330" s="8">
        <v>5985858.8200000003</v>
      </c>
      <c r="G1330" s="7">
        <v>47378</v>
      </c>
      <c r="H1330" s="1" t="s">
        <v>31</v>
      </c>
      <c r="I1330" s="1" t="str">
        <f>IF(G1330&lt;=$K$1,"Pagado","Pendiente")</f>
        <v>Pendiente</v>
      </c>
    </row>
    <row r="1331" spans="1:9" hidden="1">
      <c r="A1331" s="2">
        <v>23430</v>
      </c>
      <c r="B1331" s="2">
        <v>62</v>
      </c>
      <c r="C1331" s="8">
        <v>2180936.56</v>
      </c>
      <c r="D1331" s="8">
        <v>2408487.69</v>
      </c>
      <c r="E1331" s="8">
        <v>289018.53000000003</v>
      </c>
      <c r="F1331" s="8">
        <v>4878442.78</v>
      </c>
      <c r="G1331" s="7">
        <v>47380</v>
      </c>
      <c r="H1331" s="1" t="s">
        <v>31</v>
      </c>
      <c r="I1331" s="1" t="str">
        <f>IF(G1331&lt;=$K$1,"Pagado","Pendiente")</f>
        <v>Pendiente</v>
      </c>
    </row>
    <row r="1332" spans="1:9" hidden="1">
      <c r="A1332" s="2">
        <v>23467</v>
      </c>
      <c r="B1332" s="2">
        <v>61</v>
      </c>
      <c r="C1332" s="8">
        <v>8178512.21</v>
      </c>
      <c r="G1332" s="7">
        <v>47380</v>
      </c>
      <c r="H1332" s="1" t="s">
        <v>31</v>
      </c>
      <c r="I1332" s="1" t="str">
        <f>IF(G1332&lt;=$K$1,"Pagado","Pendiente")</f>
        <v>Pendiente</v>
      </c>
    </row>
    <row r="1333" spans="1:9" hidden="1">
      <c r="A1333" s="2">
        <v>394949</v>
      </c>
      <c r="B1333" s="2">
        <v>57</v>
      </c>
      <c r="C1333" s="8">
        <v>3137711.5</v>
      </c>
      <c r="D1333" s="8">
        <v>1768605.79</v>
      </c>
      <c r="E1333" s="8">
        <v>212232.68</v>
      </c>
      <c r="F1333" s="8">
        <v>5118549.97</v>
      </c>
      <c r="G1333" s="7">
        <v>47387</v>
      </c>
      <c r="H1333" s="1" t="s">
        <v>30</v>
      </c>
      <c r="I1333" s="1" t="str">
        <f>IF(G1333&lt;=$K$1,"Pagado","Pendiente")</f>
        <v>Pendiente</v>
      </c>
    </row>
    <row r="1334" spans="1:9" hidden="1">
      <c r="A1334" s="2">
        <v>347916</v>
      </c>
      <c r="B1334" s="2">
        <v>63</v>
      </c>
      <c r="C1334" s="8">
        <v>6766859.2554214541</v>
      </c>
      <c r="D1334" s="8">
        <v>1686324.5128379725</v>
      </c>
      <c r="E1334" s="8">
        <v>202358.9415405567</v>
      </c>
      <c r="F1334" s="8">
        <v>8655542.7097999826</v>
      </c>
      <c r="G1334" s="7">
        <v>47388</v>
      </c>
      <c r="H1334" s="1" t="s">
        <v>30</v>
      </c>
      <c r="I1334" s="1" t="str">
        <f>IF(G1334&lt;=$K$1,"Pagado","Pendiente")</f>
        <v>Pendiente</v>
      </c>
    </row>
    <row r="1335" spans="1:9" hidden="1">
      <c r="A1335" s="2">
        <v>843950300</v>
      </c>
      <c r="B1335" s="2">
        <v>60</v>
      </c>
      <c r="C1335" s="8">
        <v>7563993.9100000001</v>
      </c>
      <c r="D1335" s="8">
        <v>211375.81</v>
      </c>
      <c r="E1335" s="8">
        <f>+F1335-D1335-C1335</f>
        <v>25365.100000000559</v>
      </c>
      <c r="F1335" s="8">
        <v>7800734.8200000003</v>
      </c>
      <c r="G1335" s="7">
        <v>47388</v>
      </c>
      <c r="H1335" s="1" t="s">
        <v>24</v>
      </c>
      <c r="I1335" s="1" t="str">
        <f>IF(G1335&lt;=$K$1,"Pagado","Pendiente")</f>
        <v>Pendiente</v>
      </c>
    </row>
    <row r="1336" spans="1:9" hidden="1">
      <c r="A1336" s="2">
        <v>31295</v>
      </c>
      <c r="B1336" s="2">
        <v>57</v>
      </c>
      <c r="C1336" s="8">
        <v>6513441.3600000003</v>
      </c>
      <c r="D1336" s="8">
        <v>746578.86</v>
      </c>
      <c r="E1336" s="8">
        <v>89589.46</v>
      </c>
      <c r="F1336" s="8">
        <v>7349609.6799999997</v>
      </c>
      <c r="G1336" s="7">
        <v>47388</v>
      </c>
      <c r="H1336" s="1" t="s">
        <v>35</v>
      </c>
      <c r="I1336" s="1" t="str">
        <f>IF(G1336&lt;=$K$1,"Pagado","Pendiente")</f>
        <v>Pendiente</v>
      </c>
    </row>
    <row r="1337" spans="1:9" hidden="1">
      <c r="A1337" s="2">
        <v>119980</v>
      </c>
      <c r="B1337" s="2">
        <v>59</v>
      </c>
      <c r="C1337" s="8">
        <v>14166666.67</v>
      </c>
      <c r="D1337" s="8">
        <v>745205.48</v>
      </c>
      <c r="E1337" s="8">
        <f>+F1337-D1337-C1337</f>
        <v>89424.660000000149</v>
      </c>
      <c r="F1337" s="8">
        <v>15001296.810000001</v>
      </c>
      <c r="G1337" s="7">
        <v>47395</v>
      </c>
      <c r="H1337" s="1" t="s">
        <v>26</v>
      </c>
      <c r="I1337" s="1" t="str">
        <f>IF(G1337&lt;=$K$1,"Pagado","Pendiente")</f>
        <v>Pendiente</v>
      </c>
    </row>
    <row r="1338" spans="1:9" hidden="1">
      <c r="A1338" s="2">
        <v>23996</v>
      </c>
      <c r="B1338" s="2">
        <v>51</v>
      </c>
      <c r="C1338" s="8">
        <v>3691444.72</v>
      </c>
      <c r="D1338" s="8">
        <v>6865357.21</v>
      </c>
      <c r="E1338" s="8">
        <v>824529.41</v>
      </c>
      <c r="F1338" s="8">
        <f>+C1338+D1338+E1338</f>
        <v>11381331.34</v>
      </c>
      <c r="G1338" s="7">
        <v>47404</v>
      </c>
      <c r="H1338" s="1" t="s">
        <v>31</v>
      </c>
      <c r="I1338" s="1" t="str">
        <f>IF(G1338&lt;=$K$1,"Pagado","Pendiente")</f>
        <v>Pendiente</v>
      </c>
    </row>
    <row r="1339" spans="1:9" hidden="1">
      <c r="A1339" s="2">
        <v>927328</v>
      </c>
      <c r="B1339" s="2">
        <v>60</v>
      </c>
      <c r="C1339" s="8">
        <v>13705523.67847717</v>
      </c>
      <c r="D1339" s="8">
        <v>341495.96498875215</v>
      </c>
      <c r="E1339" s="8">
        <v>40979.51579865026</v>
      </c>
      <c r="F1339" s="8">
        <v>14087999.159264572</v>
      </c>
      <c r="G1339" s="7">
        <v>47408</v>
      </c>
      <c r="H1339" s="1" t="s">
        <v>32</v>
      </c>
      <c r="I1339" s="1" t="str">
        <f>IF(G1339&lt;=$K$1,"Pagado","Pendiente")</f>
        <v>Pendiente</v>
      </c>
    </row>
    <row r="1340" spans="1:9" hidden="1">
      <c r="A1340" s="2">
        <v>75472831</v>
      </c>
      <c r="B1340" s="2">
        <v>60</v>
      </c>
      <c r="C1340" s="8">
        <v>2083333.33</v>
      </c>
      <c r="D1340" s="8">
        <v>54794.52</v>
      </c>
      <c r="E1340" s="8">
        <f>+F1340-D1340-C1340</f>
        <v>6575.339999999851</v>
      </c>
      <c r="F1340" s="8">
        <v>2144703.19</v>
      </c>
      <c r="G1340" s="7">
        <v>47408</v>
      </c>
      <c r="H1340" s="1" t="s">
        <v>26</v>
      </c>
      <c r="I1340" s="1" t="str">
        <f>IF(G1340&lt;=$K$1,"Pagado","Pendiente")</f>
        <v>Pendiente</v>
      </c>
    </row>
    <row r="1341" spans="1:9" hidden="1">
      <c r="A1341" s="2">
        <v>863502400</v>
      </c>
      <c r="B1341" s="2">
        <v>58</v>
      </c>
      <c r="C1341" s="8">
        <v>9190950.7699999996</v>
      </c>
      <c r="D1341" s="8">
        <v>830636.46</v>
      </c>
      <c r="E1341" s="8">
        <v>99676.38</v>
      </c>
      <c r="F1341" s="8">
        <v>10121263.609999999</v>
      </c>
      <c r="G1341" s="7">
        <v>47408</v>
      </c>
      <c r="H1341" s="1" t="s">
        <v>24</v>
      </c>
      <c r="I1341" s="1" t="str">
        <f>IF(G1341&lt;=$K$1,"Pagado","Pendiente")</f>
        <v>Pendiente</v>
      </c>
    </row>
    <row r="1342" spans="1:9" hidden="1">
      <c r="A1342" s="2">
        <v>863502600</v>
      </c>
      <c r="B1342" s="2">
        <v>58</v>
      </c>
      <c r="C1342" s="8">
        <v>4753940.05</v>
      </c>
      <c r="D1342" s="8">
        <v>429639.55</v>
      </c>
      <c r="E1342" s="8">
        <v>51556.74</v>
      </c>
      <c r="F1342" s="8">
        <v>5235136.34</v>
      </c>
      <c r="G1342" s="7">
        <v>47408</v>
      </c>
      <c r="H1342" s="1" t="s">
        <v>24</v>
      </c>
      <c r="I1342" s="1" t="str">
        <f>IF(G1342&lt;=$K$1,"Pagado","Pendiente")</f>
        <v>Pendiente</v>
      </c>
    </row>
    <row r="1343" spans="1:9" hidden="1">
      <c r="A1343" s="2">
        <v>24004</v>
      </c>
      <c r="B1343" s="2">
        <v>51</v>
      </c>
      <c r="C1343" s="8">
        <v>4149610.81</v>
      </c>
      <c r="D1343" s="8">
        <v>1624898.76</v>
      </c>
      <c r="E1343" s="8">
        <v>195150.34</v>
      </c>
      <c r="F1343" s="8">
        <v>5969659.9100000001</v>
      </c>
      <c r="G1343" s="7">
        <v>47408</v>
      </c>
      <c r="H1343" s="1" t="s">
        <v>31</v>
      </c>
      <c r="I1343" s="1" t="str">
        <f>IF(G1343&lt;=$K$1,"Pagado","Pendiente")</f>
        <v>Pendiente</v>
      </c>
    </row>
    <row r="1344" spans="1:9" hidden="1">
      <c r="A1344" s="2">
        <v>23430</v>
      </c>
      <c r="B1344" s="2">
        <v>63</v>
      </c>
      <c r="C1344" s="8">
        <v>2252638.58</v>
      </c>
      <c r="D1344" s="8">
        <v>2336785.67</v>
      </c>
      <c r="E1344" s="8">
        <v>280414.28999999998</v>
      </c>
      <c r="F1344" s="8">
        <v>4869838.54</v>
      </c>
      <c r="G1344" s="7">
        <v>47410</v>
      </c>
      <c r="H1344" s="1" t="s">
        <v>31</v>
      </c>
      <c r="I1344" s="1" t="str">
        <f>IF(G1344&lt;=$K$1,"Pagado","Pendiente")</f>
        <v>Pendiente</v>
      </c>
    </row>
    <row r="1345" spans="1:9" hidden="1">
      <c r="A1345" s="2">
        <v>23467</v>
      </c>
      <c r="B1345" s="2">
        <v>62</v>
      </c>
      <c r="C1345" s="8">
        <v>8447394.8000000007</v>
      </c>
      <c r="G1345" s="7">
        <v>47410</v>
      </c>
      <c r="H1345" s="1" t="s">
        <v>31</v>
      </c>
      <c r="I1345" s="1" t="str">
        <f>IF(G1345&lt;=$K$1,"Pagado","Pendiente")</f>
        <v>Pendiente</v>
      </c>
    </row>
    <row r="1346" spans="1:9" hidden="1">
      <c r="A1346" s="2">
        <v>394949</v>
      </c>
      <c r="B1346" s="2">
        <v>58</v>
      </c>
      <c r="C1346" s="8">
        <v>3226613.33</v>
      </c>
      <c r="D1346" s="8">
        <v>1679703.96</v>
      </c>
      <c r="E1346" s="8">
        <v>201564.46</v>
      </c>
      <c r="F1346" s="8">
        <v>5107881.75</v>
      </c>
      <c r="G1346" s="7">
        <v>47417</v>
      </c>
      <c r="H1346" s="1" t="s">
        <v>30</v>
      </c>
      <c r="I1346" s="1" t="str">
        <f>IF(G1346&lt;=$K$1,"Pagado","Pendiente")</f>
        <v>Pendiente</v>
      </c>
    </row>
    <row r="1347" spans="1:9" hidden="1">
      <c r="A1347" s="2">
        <v>347916</v>
      </c>
      <c r="B1347" s="2">
        <v>64</v>
      </c>
      <c r="C1347" s="8">
        <v>6919113.5886684367</v>
      </c>
      <c r="D1347" s="8">
        <v>1534070.1795909898</v>
      </c>
      <c r="E1347" s="8">
        <v>184088.42155091878</v>
      </c>
      <c r="F1347" s="8">
        <v>8637272.1898103449</v>
      </c>
      <c r="G1347" s="7">
        <v>47418</v>
      </c>
      <c r="H1347" s="1" t="s">
        <v>30</v>
      </c>
      <c r="I1347" s="1" t="str">
        <f>IF(G1347&lt;=$K$1,"Pagado","Pendiente")</f>
        <v>Pendiente</v>
      </c>
    </row>
    <row r="1348" spans="1:9" hidden="1">
      <c r="A1348" s="2">
        <v>31295</v>
      </c>
      <c r="B1348" s="2">
        <v>58</v>
      </c>
      <c r="C1348" s="8">
        <v>6692561</v>
      </c>
      <c r="D1348" s="8">
        <v>567459.22</v>
      </c>
      <c r="E1348" s="8">
        <v>68095.11</v>
      </c>
      <c r="F1348" s="8">
        <v>7328115.3300000001</v>
      </c>
      <c r="G1348" s="7">
        <v>47418</v>
      </c>
      <c r="H1348" s="1" t="s">
        <v>35</v>
      </c>
      <c r="I1348" s="1" t="str">
        <f>IF(G1348&lt;=$K$1,"Pagado","Pendiente")</f>
        <v>Pendiente</v>
      </c>
    </row>
    <row r="1349" spans="1:9" hidden="1">
      <c r="A1349" s="2">
        <v>119980</v>
      </c>
      <c r="B1349" s="2">
        <v>60</v>
      </c>
      <c r="C1349" s="8">
        <v>14166666.51</v>
      </c>
      <c r="D1349" s="8">
        <v>397442.92</v>
      </c>
      <c r="E1349" s="8">
        <f>+F1349-D1349-C1349</f>
        <v>47693.150000000373</v>
      </c>
      <c r="F1349" s="8">
        <v>14611802.58</v>
      </c>
      <c r="G1349" s="7">
        <v>47426</v>
      </c>
      <c r="H1349" s="1" t="s">
        <v>26</v>
      </c>
      <c r="I1349" s="1" t="str">
        <f>IF(G1349&lt;=$K$1,"Pagado","Pendiente")</f>
        <v>Pendiente</v>
      </c>
    </row>
    <row r="1350" spans="1:9" hidden="1">
      <c r="A1350" s="2">
        <v>23996</v>
      </c>
      <c r="B1350" s="2">
        <v>52</v>
      </c>
      <c r="C1350" s="8">
        <v>3807308.04</v>
      </c>
      <c r="D1350" s="8">
        <v>6749493.8899999997</v>
      </c>
      <c r="E1350" s="8">
        <v>810614.22</v>
      </c>
      <c r="F1350" s="8">
        <f>+C1350+D1350+E1350</f>
        <v>11367416.15</v>
      </c>
      <c r="G1350" s="7">
        <v>47435</v>
      </c>
      <c r="H1350" s="1" t="s">
        <v>31</v>
      </c>
      <c r="I1350" s="1" t="str">
        <f>IF(G1350&lt;=$K$1,"Pagado","Pendiente")</f>
        <v>Pendiente</v>
      </c>
    </row>
    <row r="1351" spans="1:9" hidden="1">
      <c r="A1351" s="2">
        <v>863502400</v>
      </c>
      <c r="B1351" s="2">
        <v>59</v>
      </c>
      <c r="C1351" s="8">
        <v>9447791.8900000006</v>
      </c>
      <c r="D1351" s="8">
        <v>573795.34</v>
      </c>
      <c r="E1351" s="8">
        <v>68855.44</v>
      </c>
      <c r="F1351" s="8">
        <v>10090442.67</v>
      </c>
      <c r="G1351" s="7">
        <v>47439</v>
      </c>
      <c r="H1351" s="1" t="s">
        <v>24</v>
      </c>
      <c r="I1351" s="1" t="str">
        <f>IF(G1351&lt;=$K$1,"Pagado","Pendiente")</f>
        <v>Pendiente</v>
      </c>
    </row>
    <row r="1352" spans="1:9" hidden="1">
      <c r="A1352" s="2">
        <v>863502600</v>
      </c>
      <c r="B1352" s="2">
        <v>59</v>
      </c>
      <c r="C1352" s="8">
        <v>4886788.9000000004</v>
      </c>
      <c r="D1352" s="8">
        <v>296790.7</v>
      </c>
      <c r="E1352" s="8">
        <v>35614.879999999997</v>
      </c>
      <c r="F1352" s="8">
        <v>5219194.4800000004</v>
      </c>
      <c r="G1352" s="7">
        <v>47439</v>
      </c>
      <c r="H1352" s="1" t="s">
        <v>24</v>
      </c>
      <c r="I1352" s="1" t="str">
        <f>IF(G1352&lt;=$K$1,"Pagado","Pendiente")</f>
        <v>Pendiente</v>
      </c>
    </row>
    <row r="1353" spans="1:9" hidden="1">
      <c r="A1353" s="2">
        <v>24004</v>
      </c>
      <c r="B1353" s="2">
        <v>52</v>
      </c>
      <c r="C1353" s="8">
        <v>4289020.67</v>
      </c>
      <c r="D1353" s="8">
        <v>1485488.9</v>
      </c>
      <c r="E1353" s="8">
        <v>178407.21</v>
      </c>
      <c r="F1353" s="8">
        <v>5952916.7800000003</v>
      </c>
      <c r="G1353" s="7">
        <v>47439</v>
      </c>
      <c r="H1353" s="1" t="s">
        <v>31</v>
      </c>
      <c r="I1353" s="1" t="str">
        <f>IF(G1353&lt;=$K$1,"Pagado","Pendiente")</f>
        <v>Pendiente</v>
      </c>
    </row>
    <row r="1354" spans="1:9" hidden="1">
      <c r="A1354" s="2">
        <v>23430</v>
      </c>
      <c r="B1354" s="2">
        <v>64</v>
      </c>
      <c r="C1354" s="8">
        <v>2326697.9300000002</v>
      </c>
      <c r="D1354" s="8">
        <v>2262726.3199999998</v>
      </c>
      <c r="E1354" s="8">
        <v>271527.15000000002</v>
      </c>
      <c r="F1354" s="8">
        <v>4860951.4000000004</v>
      </c>
      <c r="G1354" s="7">
        <v>47441</v>
      </c>
      <c r="H1354" s="1" t="s">
        <v>31</v>
      </c>
      <c r="I1354" s="1" t="str">
        <f>IF(G1354&lt;=$K$1,"Pagado","Pendiente")</f>
        <v>Pendiente</v>
      </c>
    </row>
    <row r="1355" spans="1:9" hidden="1">
      <c r="A1355" s="2">
        <v>23467</v>
      </c>
      <c r="B1355" s="2">
        <v>63</v>
      </c>
      <c r="C1355" s="8">
        <v>8725117.3699999992</v>
      </c>
      <c r="G1355" s="7">
        <v>47441</v>
      </c>
      <c r="H1355" s="1" t="s">
        <v>31</v>
      </c>
      <c r="I1355" s="1" t="str">
        <f>IF(G1355&lt;=$K$1,"Pagado","Pendiente")</f>
        <v>Pendiente</v>
      </c>
    </row>
    <row r="1356" spans="1:9" hidden="1">
      <c r="A1356" s="2">
        <v>394949</v>
      </c>
      <c r="B1356" s="2">
        <v>59</v>
      </c>
      <c r="C1356" s="8">
        <v>3318034.04</v>
      </c>
      <c r="D1356" s="8">
        <v>1588283.25</v>
      </c>
      <c r="E1356" s="8">
        <v>190593.98</v>
      </c>
      <c r="F1356" s="8">
        <v>5096911.2699999996</v>
      </c>
      <c r="G1356" s="7">
        <v>47448</v>
      </c>
      <c r="H1356" s="1" t="s">
        <v>30</v>
      </c>
      <c r="I1356" s="1" t="str">
        <f>IF(G1356&lt;=$K$1,"Pagado","Pendiente")</f>
        <v>Pendiente</v>
      </c>
    </row>
    <row r="1357" spans="1:9" hidden="1">
      <c r="A1357" s="2">
        <v>347916</v>
      </c>
      <c r="B1357" s="2">
        <v>65</v>
      </c>
      <c r="C1357" s="8">
        <v>7074793.6444134768</v>
      </c>
      <c r="D1357" s="8">
        <v>1378390.12384595</v>
      </c>
      <c r="E1357" s="8">
        <v>165406.81486151399</v>
      </c>
      <c r="F1357" s="8">
        <v>8618590.5831209403</v>
      </c>
      <c r="G1357" s="7">
        <v>47449</v>
      </c>
      <c r="H1357" s="1" t="s">
        <v>30</v>
      </c>
      <c r="I1357" s="1" t="str">
        <f>IF(G1357&lt;=$K$1,"Pagado","Pendiente")</f>
        <v>Pendiente</v>
      </c>
    </row>
    <row r="1358" spans="1:9" hidden="1">
      <c r="A1358" s="2">
        <v>31295</v>
      </c>
      <c r="B1358" s="2">
        <v>59</v>
      </c>
      <c r="C1358" s="8">
        <v>6876606.4299999997</v>
      </c>
      <c r="D1358" s="8">
        <v>383413.79</v>
      </c>
      <c r="E1358" s="8">
        <v>46009.66</v>
      </c>
      <c r="F1358" s="8">
        <v>7306029.8799999999</v>
      </c>
      <c r="G1358" s="7">
        <v>47449</v>
      </c>
      <c r="H1358" s="1" t="s">
        <v>35</v>
      </c>
      <c r="I1358" s="1" t="str">
        <f>IF(G1358&lt;=$K$1,"Pagado","Pendiente")</f>
        <v>Pendiente</v>
      </c>
    </row>
    <row r="1359" spans="1:9" hidden="1">
      <c r="A1359" s="2">
        <v>23996</v>
      </c>
      <c r="B1359" s="2">
        <v>53</v>
      </c>
      <c r="C1359" s="8">
        <v>3926807.97</v>
      </c>
      <c r="D1359" s="8">
        <v>6629993.96</v>
      </c>
      <c r="E1359" s="8">
        <v>796262.28</v>
      </c>
      <c r="F1359" s="8">
        <f>+C1359+D1359+E1359</f>
        <v>11353064.209999999</v>
      </c>
      <c r="G1359" s="7">
        <v>47465</v>
      </c>
      <c r="H1359" s="1" t="s">
        <v>31</v>
      </c>
      <c r="I1359" s="1" t="str">
        <f>IF(G1359&lt;=$K$1,"Pagado","Pendiente")</f>
        <v>Pendiente</v>
      </c>
    </row>
    <row r="1360" spans="1:9" hidden="1">
      <c r="A1360" s="2">
        <v>863502400</v>
      </c>
      <c r="B1360" s="2">
        <v>60</v>
      </c>
      <c r="C1360" s="8">
        <v>11085231.4</v>
      </c>
      <c r="D1360" s="8">
        <v>2309776.79</v>
      </c>
      <c r="E1360" s="8">
        <v>37173.21</v>
      </c>
      <c r="F1360" s="8">
        <v>11432181.42</v>
      </c>
      <c r="G1360" s="7">
        <v>47469</v>
      </c>
      <c r="H1360" s="1" t="s">
        <v>24</v>
      </c>
      <c r="I1360" s="1" t="str">
        <f>IF(G1360&lt;=$K$1,"Pagado","Pendiente")</f>
        <v>Pendiente</v>
      </c>
    </row>
    <row r="1361" spans="1:9" hidden="1">
      <c r="A1361" s="2">
        <v>863502600</v>
      </c>
      <c r="B1361" s="2">
        <v>60</v>
      </c>
      <c r="C1361" s="8">
        <v>5733740.6799999997</v>
      </c>
      <c r="D1361" s="8">
        <v>160229.38</v>
      </c>
      <c r="E1361" s="8">
        <v>19227.52</v>
      </c>
      <c r="F1361" s="8">
        <v>5913197.5800000001</v>
      </c>
      <c r="G1361" s="7">
        <v>47469</v>
      </c>
      <c r="H1361" s="1" t="s">
        <v>24</v>
      </c>
      <c r="I1361" s="1" t="str">
        <f>IF(G1361&lt;=$K$1,"Pagado","Pendiente")</f>
        <v>Pendiente</v>
      </c>
    </row>
    <row r="1362" spans="1:9" hidden="1">
      <c r="A1362" s="2">
        <v>24004</v>
      </c>
      <c r="B1362" s="2">
        <v>53</v>
      </c>
      <c r="C1362" s="8">
        <v>4433114.1399999997</v>
      </c>
      <c r="D1362" s="8">
        <v>1341395.43</v>
      </c>
      <c r="E1362" s="8">
        <v>161101.59</v>
      </c>
      <c r="F1362" s="8">
        <v>5935611.1600000001</v>
      </c>
      <c r="G1362" s="7">
        <v>47469</v>
      </c>
      <c r="H1362" s="1" t="s">
        <v>31</v>
      </c>
      <c r="I1362" s="1" t="str">
        <f>IF(G1362&lt;=$K$1,"Pagado","Pendiente")</f>
        <v>Pendiente</v>
      </c>
    </row>
    <row r="1363" spans="1:9" hidden="1">
      <c r="A1363" s="2">
        <v>23430</v>
      </c>
      <c r="B1363" s="2">
        <v>65</v>
      </c>
      <c r="C1363" s="8">
        <v>2403192.11</v>
      </c>
      <c r="D1363" s="8">
        <v>2186232.14</v>
      </c>
      <c r="E1363" s="8">
        <v>262347.84999999998</v>
      </c>
      <c r="F1363" s="8">
        <v>4851772.0999999996</v>
      </c>
      <c r="G1363" s="7">
        <v>47471</v>
      </c>
      <c r="H1363" s="1" t="s">
        <v>31</v>
      </c>
      <c r="I1363" s="1" t="str">
        <f>IF(G1363&lt;=$K$1,"Pagado","Pendiente")</f>
        <v>Pendiente</v>
      </c>
    </row>
    <row r="1364" spans="1:9" hidden="1">
      <c r="A1364" s="2">
        <v>23467</v>
      </c>
      <c r="B1364" s="2">
        <v>64</v>
      </c>
      <c r="C1364" s="8">
        <v>9011970.5399999991</v>
      </c>
      <c r="G1364" s="7">
        <v>47471</v>
      </c>
      <c r="H1364" s="1" t="s">
        <v>31</v>
      </c>
      <c r="I1364" s="1" t="str">
        <f>IF(G1364&lt;=$K$1,"Pagado","Pendiente")</f>
        <v>Pendiente</v>
      </c>
    </row>
    <row r="1365" spans="1:9" hidden="1">
      <c r="A1365" s="2">
        <v>394949</v>
      </c>
      <c r="B1365" s="2">
        <v>60</v>
      </c>
      <c r="C1365" s="8">
        <v>3412045</v>
      </c>
      <c r="D1365" s="8">
        <v>1494272.29</v>
      </c>
      <c r="E1365" s="8">
        <v>179312.67</v>
      </c>
      <c r="F1365" s="8">
        <v>5085629.96</v>
      </c>
      <c r="G1365" s="7">
        <v>47478</v>
      </c>
      <c r="H1365" s="1" t="s">
        <v>30</v>
      </c>
      <c r="I1365" s="1" t="str">
        <f>IF(G1365&lt;=$K$1,"Pagado","Pendiente")</f>
        <v>Pendiente</v>
      </c>
    </row>
    <row r="1366" spans="1:9" hidden="1">
      <c r="A1366" s="2">
        <v>347916</v>
      </c>
      <c r="B1366" s="2">
        <v>66</v>
      </c>
      <c r="C1366" s="8">
        <v>7233976.50141278</v>
      </c>
      <c r="D1366" s="8">
        <v>1219207.2668466468</v>
      </c>
      <c r="E1366" s="8">
        <v>146304.87202159761</v>
      </c>
      <c r="F1366" s="8">
        <v>8599488.6402810253</v>
      </c>
      <c r="G1366" s="7">
        <v>47479</v>
      </c>
      <c r="H1366" s="1" t="s">
        <v>30</v>
      </c>
      <c r="I1366" s="1" t="str">
        <f>IF(G1366&lt;=$K$1,"Pagado","Pendiente")</f>
        <v>Pendiente</v>
      </c>
    </row>
    <row r="1367" spans="1:9" hidden="1">
      <c r="A1367" s="2">
        <v>31295</v>
      </c>
      <c r="B1367" s="2">
        <v>60</v>
      </c>
      <c r="C1367" s="8">
        <v>7065713.3399999999</v>
      </c>
      <c r="D1367" s="8">
        <v>194307.12</v>
      </c>
      <c r="E1367" s="8">
        <v>23316.86</v>
      </c>
      <c r="F1367" s="8">
        <v>7283337.3200000003</v>
      </c>
      <c r="G1367" s="7">
        <v>47479</v>
      </c>
      <c r="H1367" s="1" t="s">
        <v>35</v>
      </c>
      <c r="I1367" s="1" t="str">
        <f>IF(G1367&lt;=$K$1,"Pagado","Pendiente")</f>
        <v>Pendiente</v>
      </c>
    </row>
    <row r="1368" spans="1:9" hidden="1">
      <c r="A1368" s="2">
        <v>23996</v>
      </c>
      <c r="B1368" s="2">
        <v>54</v>
      </c>
      <c r="C1368" s="8">
        <v>4050058.63</v>
      </c>
      <c r="D1368" s="8">
        <v>6506743.2999999998</v>
      </c>
      <c r="E1368" s="8">
        <v>781459.87</v>
      </c>
      <c r="F1368" s="8">
        <f>+C1368+D1368+E1368</f>
        <v>11338261.799999999</v>
      </c>
      <c r="G1368" s="7">
        <v>47496</v>
      </c>
      <c r="H1368" s="1" t="s">
        <v>31</v>
      </c>
      <c r="I1368" s="1" t="str">
        <f>IF(G1368&lt;=$K$1,"Pagado","Pendiente")</f>
        <v>Pendiente</v>
      </c>
    </row>
    <row r="1369" spans="1:9" hidden="1">
      <c r="A1369" s="2">
        <v>24004</v>
      </c>
      <c r="B1369" s="2">
        <v>54</v>
      </c>
      <c r="C1369" s="8">
        <v>4582048.5599999996</v>
      </c>
      <c r="D1369" s="8">
        <v>1192461.01</v>
      </c>
      <c r="E1369" s="8">
        <v>143214.57999999999</v>
      </c>
      <c r="F1369" s="8">
        <v>5917724.1500000004</v>
      </c>
      <c r="G1369" s="7">
        <v>47500</v>
      </c>
      <c r="H1369" s="1" t="s">
        <v>31</v>
      </c>
      <c r="I1369" s="1" t="str">
        <f>IF(G1369&lt;=$K$1,"Pagado","Pendiente")</f>
        <v>Pendiente</v>
      </c>
    </row>
    <row r="1370" spans="1:9" hidden="1">
      <c r="A1370" s="2">
        <v>23430</v>
      </c>
      <c r="B1370" s="2">
        <v>66</v>
      </c>
      <c r="C1370" s="8">
        <v>2482201.17</v>
      </c>
      <c r="D1370" s="8">
        <v>2107223.08</v>
      </c>
      <c r="E1370" s="8">
        <v>252866.77</v>
      </c>
      <c r="F1370" s="8">
        <v>4842291.0199999996</v>
      </c>
      <c r="G1370" s="7">
        <v>47502</v>
      </c>
      <c r="H1370" s="1" t="s">
        <v>31</v>
      </c>
      <c r="I1370" s="1" t="str">
        <f>IF(G1370&lt;=$K$1,"Pagado","Pendiente")</f>
        <v>Pendiente</v>
      </c>
    </row>
    <row r="1371" spans="1:9" hidden="1">
      <c r="A1371" s="2">
        <v>23467</v>
      </c>
      <c r="B1371" s="2">
        <v>65</v>
      </c>
      <c r="C1371" s="8">
        <v>9308254.5</v>
      </c>
      <c r="G1371" s="7">
        <v>47502</v>
      </c>
      <c r="H1371" s="1" t="s">
        <v>31</v>
      </c>
      <c r="I1371" s="1" t="str">
        <f>IF(G1371&lt;=$K$1,"Pagado","Pendiente")</f>
        <v>Pendiente</v>
      </c>
    </row>
    <row r="1372" spans="1:9" hidden="1">
      <c r="A1372" s="2">
        <v>394949</v>
      </c>
      <c r="B1372" s="2">
        <v>61</v>
      </c>
      <c r="C1372" s="8">
        <v>3508719.61</v>
      </c>
      <c r="D1372" s="8">
        <v>1397597.68</v>
      </c>
      <c r="E1372" s="8">
        <v>167711.71</v>
      </c>
      <c r="F1372" s="8">
        <v>5074029</v>
      </c>
      <c r="G1372" s="7">
        <v>47509</v>
      </c>
      <c r="H1372" s="1" t="s">
        <v>30</v>
      </c>
      <c r="I1372" s="1" t="str">
        <f>IF(G1372&lt;=$K$1,"Pagado","Pendiente")</f>
        <v>Pendiente</v>
      </c>
    </row>
    <row r="1373" spans="1:9" hidden="1">
      <c r="A1373" s="2">
        <v>347916</v>
      </c>
      <c r="B1373" s="2">
        <v>67</v>
      </c>
      <c r="C1373" s="8">
        <v>7396740.9726945674</v>
      </c>
      <c r="D1373" s="8">
        <v>1056442.7955648592</v>
      </c>
      <c r="E1373" s="8">
        <v>126773.1354677831</v>
      </c>
      <c r="F1373" s="8">
        <v>8579956.9037272092</v>
      </c>
      <c r="G1373" s="7">
        <v>47510</v>
      </c>
      <c r="H1373" s="1" t="s">
        <v>30</v>
      </c>
      <c r="I1373" s="1" t="str">
        <f>IF(G1373&lt;=$K$1,"Pagado","Pendiente")</f>
        <v>Pendiente</v>
      </c>
    </row>
    <row r="1374" spans="1:9" hidden="1">
      <c r="A1374" s="2">
        <v>23996</v>
      </c>
      <c r="B1374" s="2">
        <v>55</v>
      </c>
      <c r="C1374" s="8">
        <v>4177177.77</v>
      </c>
      <c r="D1374" s="8">
        <v>6379624.1600000001</v>
      </c>
      <c r="E1374" s="8">
        <v>766192.86</v>
      </c>
      <c r="F1374" s="8">
        <f>+C1374+D1374+E1374</f>
        <v>11322994.789999999</v>
      </c>
      <c r="G1374" s="7">
        <v>47527</v>
      </c>
      <c r="H1374" s="1" t="s">
        <v>31</v>
      </c>
      <c r="I1374" s="1" t="str">
        <f>IF(G1374&lt;=$K$1,"Pagado","Pendiente")</f>
        <v>Pendiente</v>
      </c>
    </row>
    <row r="1375" spans="1:9" hidden="1">
      <c r="A1375" s="2">
        <v>24004</v>
      </c>
      <c r="B1375" s="2">
        <v>55</v>
      </c>
      <c r="C1375" s="8">
        <v>4735986.5599999996</v>
      </c>
      <c r="D1375" s="8">
        <v>1038523.01</v>
      </c>
      <c r="E1375" s="8">
        <v>124726.62</v>
      </c>
      <c r="F1375" s="8">
        <v>5899236.1900000004</v>
      </c>
      <c r="G1375" s="7">
        <v>47531</v>
      </c>
      <c r="H1375" s="1" t="s">
        <v>31</v>
      </c>
      <c r="I1375" s="1" t="str">
        <f>IF(G1375&lt;=$K$1,"Pagado","Pendiente")</f>
        <v>Pendiente</v>
      </c>
    </row>
    <row r="1376" spans="1:9" hidden="1">
      <c r="A1376" s="2">
        <v>23430</v>
      </c>
      <c r="B1376" s="2">
        <v>67</v>
      </c>
      <c r="C1376" s="8">
        <v>2563807.7799999998</v>
      </c>
      <c r="D1376" s="8">
        <v>2025616.47</v>
      </c>
      <c r="E1376" s="8">
        <v>243073.98</v>
      </c>
      <c r="F1376" s="8">
        <v>4832498.2300000004</v>
      </c>
      <c r="G1376" s="7">
        <v>47533</v>
      </c>
      <c r="H1376" s="1" t="s">
        <v>31</v>
      </c>
      <c r="I1376" s="1" t="str">
        <f>IF(G1376&lt;=$K$1,"Pagado","Pendiente")</f>
        <v>Pendiente</v>
      </c>
    </row>
    <row r="1377" spans="1:9" hidden="1">
      <c r="A1377" s="2">
        <v>23467</v>
      </c>
      <c r="B1377" s="2">
        <v>66</v>
      </c>
      <c r="C1377" s="8">
        <v>9614279.3000000007</v>
      </c>
      <c r="G1377" s="7">
        <v>47533</v>
      </c>
      <c r="H1377" s="1" t="s">
        <v>31</v>
      </c>
      <c r="I1377" s="1" t="str">
        <f>IF(G1377&lt;=$K$1,"Pagado","Pendiente")</f>
        <v>Pendiente</v>
      </c>
    </row>
    <row r="1378" spans="1:9" hidden="1">
      <c r="A1378" s="2">
        <v>394949</v>
      </c>
      <c r="B1378" s="2">
        <v>62</v>
      </c>
      <c r="C1378" s="8">
        <v>3608133.33</v>
      </c>
      <c r="D1378" s="8">
        <v>1298183.96</v>
      </c>
      <c r="E1378" s="8">
        <v>155782.06</v>
      </c>
      <c r="F1378" s="8">
        <v>5062099.3499999996</v>
      </c>
      <c r="G1378" s="7">
        <v>47540</v>
      </c>
      <c r="H1378" s="1" t="s">
        <v>30</v>
      </c>
      <c r="I1378" s="1" t="str">
        <f>IF(G1378&lt;=$K$1,"Pagado","Pendiente")</f>
        <v>Pendiente</v>
      </c>
    </row>
    <row r="1379" spans="1:9" hidden="1">
      <c r="A1379" s="2">
        <v>347916</v>
      </c>
      <c r="B1379" s="2">
        <v>68</v>
      </c>
      <c r="C1379" s="8">
        <v>7563167.6445801947</v>
      </c>
      <c r="D1379" s="8">
        <v>890016.12367923139</v>
      </c>
      <c r="E1379" s="8">
        <v>106801.93484150777</v>
      </c>
      <c r="F1379" s="8">
        <v>8559985.7031009346</v>
      </c>
      <c r="G1379" s="7">
        <v>47541</v>
      </c>
      <c r="H1379" s="1" t="s">
        <v>30</v>
      </c>
      <c r="I1379" s="1" t="str">
        <f>IF(G1379&lt;=$K$1,"Pagado","Pendiente")</f>
        <v>Pendiente</v>
      </c>
    </row>
    <row r="1380" spans="1:9" hidden="1">
      <c r="A1380" s="2">
        <v>23996</v>
      </c>
      <c r="B1380" s="2">
        <v>56</v>
      </c>
      <c r="C1380" s="8">
        <v>4308286.79</v>
      </c>
      <c r="D1380" s="8">
        <v>6248515.1399999997</v>
      </c>
      <c r="E1380" s="8">
        <v>750446.67</v>
      </c>
      <c r="F1380" s="8">
        <f>+C1380+D1380+E1380</f>
        <v>11307248.6</v>
      </c>
      <c r="G1380" s="7">
        <v>47555</v>
      </c>
      <c r="H1380" s="1" t="s">
        <v>31</v>
      </c>
      <c r="I1380" s="1" t="str">
        <f>IF(G1380&lt;=$K$1,"Pagado","Pendiente")</f>
        <v>Pendiente</v>
      </c>
    </row>
    <row r="1381" spans="1:9" hidden="1">
      <c r="A1381" s="2">
        <v>24004</v>
      </c>
      <c r="B1381" s="2">
        <v>56</v>
      </c>
      <c r="C1381" s="8">
        <v>4895096.24</v>
      </c>
      <c r="D1381" s="8">
        <v>879413.33</v>
      </c>
      <c r="E1381" s="8">
        <v>105617.54</v>
      </c>
      <c r="F1381" s="8">
        <v>5880127.1100000003</v>
      </c>
      <c r="G1381" s="7">
        <v>47559</v>
      </c>
      <c r="H1381" s="1" t="s">
        <v>31</v>
      </c>
      <c r="I1381" s="1" t="str">
        <f>IF(G1381&lt;=$K$1,"Pagado","Pendiente")</f>
        <v>Pendiente</v>
      </c>
    </row>
    <row r="1382" spans="1:9" hidden="1">
      <c r="A1382" s="2">
        <v>23430</v>
      </c>
      <c r="B1382" s="2">
        <v>68</v>
      </c>
      <c r="C1382" s="8">
        <v>2648097.35</v>
      </c>
      <c r="D1382" s="8">
        <v>1941326.9</v>
      </c>
      <c r="E1382" s="8">
        <v>232959.22</v>
      </c>
      <c r="F1382" s="8">
        <v>4822383.47</v>
      </c>
      <c r="G1382" s="7">
        <v>47561</v>
      </c>
      <c r="H1382" s="1" t="s">
        <v>31</v>
      </c>
      <c r="I1382" s="1" t="str">
        <f>IF(G1382&lt;=$K$1,"Pagado","Pendiente")</f>
        <v>Pendiente</v>
      </c>
    </row>
    <row r="1383" spans="1:9" hidden="1">
      <c r="A1383" s="2">
        <v>23467</v>
      </c>
      <c r="B1383" s="2">
        <v>67</v>
      </c>
      <c r="C1383" s="8">
        <v>9930365.1899999995</v>
      </c>
      <c r="G1383" s="7">
        <v>47561</v>
      </c>
      <c r="H1383" s="1" t="s">
        <v>31</v>
      </c>
      <c r="I1383" s="1" t="str">
        <f>IF(G1383&lt;=$K$1,"Pagado","Pendiente")</f>
        <v>Pendiente</v>
      </c>
    </row>
    <row r="1384" spans="1:9" hidden="1">
      <c r="A1384" s="2">
        <v>394949</v>
      </c>
      <c r="B1384" s="2">
        <v>63</v>
      </c>
      <c r="C1384" s="8">
        <v>3710363.78</v>
      </c>
      <c r="D1384" s="8">
        <v>1195953.51</v>
      </c>
      <c r="E1384" s="8">
        <v>143514.41</v>
      </c>
      <c r="F1384" s="8">
        <v>5049831.7</v>
      </c>
      <c r="G1384" s="7">
        <v>47568</v>
      </c>
      <c r="H1384" s="1" t="s">
        <v>30</v>
      </c>
      <c r="I1384" s="1" t="str">
        <f>IF(G1384&lt;=$K$1,"Pagado","Pendiente")</f>
        <v>Pendiente</v>
      </c>
    </row>
    <row r="1385" spans="1:9" hidden="1">
      <c r="A1385" s="2">
        <v>347916</v>
      </c>
      <c r="B1385" s="2">
        <v>69</v>
      </c>
      <c r="C1385" s="8">
        <v>7733338.9165832493</v>
      </c>
      <c r="D1385" s="8">
        <v>719844.851676177</v>
      </c>
      <c r="E1385" s="8">
        <v>86381.382201141241</v>
      </c>
      <c r="F1385" s="8">
        <v>8539565.1504605673</v>
      </c>
      <c r="G1385" s="7">
        <v>47569</v>
      </c>
      <c r="H1385" s="1" t="s">
        <v>30</v>
      </c>
      <c r="I1385" s="1" t="str">
        <f>IF(G1385&lt;=$K$1,"Pagado","Pendiente")</f>
        <v>Pendiente</v>
      </c>
    </row>
    <row r="1386" spans="1:9" hidden="1">
      <c r="A1386" s="2">
        <v>23996</v>
      </c>
      <c r="B1386" s="2">
        <v>57</v>
      </c>
      <c r="C1386" s="8">
        <v>4443510.92</v>
      </c>
      <c r="D1386" s="8">
        <v>6113291.0099999998</v>
      </c>
      <c r="E1386" s="8">
        <v>734206.26</v>
      </c>
      <c r="F1386" s="8">
        <f>+C1386+D1386+E1386</f>
        <v>11291008.189999999</v>
      </c>
      <c r="G1386" s="7">
        <v>47586</v>
      </c>
      <c r="H1386" s="1" t="s">
        <v>31</v>
      </c>
      <c r="I1386" s="1" t="str">
        <f>IF(G1386&lt;=$K$1,"Pagado","Pendiente")</f>
        <v>Pendiente</v>
      </c>
    </row>
    <row r="1387" spans="1:9" hidden="1">
      <c r="A1387" s="2">
        <v>24004</v>
      </c>
      <c r="B1387" s="2">
        <v>57</v>
      </c>
      <c r="C1387" s="8">
        <v>5059551.3499999996</v>
      </c>
      <c r="D1387" s="8">
        <v>714958.22</v>
      </c>
      <c r="E1387" s="8">
        <v>85866.48</v>
      </c>
      <c r="F1387" s="8">
        <v>5860376.0499999998</v>
      </c>
      <c r="G1387" s="7">
        <v>47590</v>
      </c>
      <c r="H1387" s="1" t="s">
        <v>31</v>
      </c>
      <c r="I1387" s="1" t="str">
        <f>IF(G1387&lt;=$K$1,"Pagado","Pendiente")</f>
        <v>Pendiente</v>
      </c>
    </row>
    <row r="1388" spans="1:9" hidden="1">
      <c r="A1388" s="2">
        <v>23430</v>
      </c>
      <c r="B1388" s="2">
        <v>69</v>
      </c>
      <c r="C1388" s="8">
        <v>2735158.08</v>
      </c>
      <c r="D1388" s="8">
        <v>1854266.17</v>
      </c>
      <c r="E1388" s="8">
        <v>222511.94</v>
      </c>
      <c r="F1388" s="8">
        <v>4811936.1900000004</v>
      </c>
      <c r="G1388" s="7">
        <v>47592</v>
      </c>
      <c r="H1388" s="1" t="s">
        <v>31</v>
      </c>
      <c r="I1388" s="1" t="str">
        <f>IF(G1388&lt;=$K$1,"Pagado","Pendiente")</f>
        <v>Pendiente</v>
      </c>
    </row>
    <row r="1389" spans="1:9" hidden="1">
      <c r="A1389" s="2">
        <v>23467</v>
      </c>
      <c r="B1389" s="2">
        <v>68</v>
      </c>
      <c r="C1389" s="8">
        <v>10256842.949999999</v>
      </c>
      <c r="G1389" s="7">
        <v>47592</v>
      </c>
      <c r="H1389" s="1" t="s">
        <v>31</v>
      </c>
      <c r="I1389" s="1" t="str">
        <f>IF(G1389&lt;=$K$1,"Pagado","Pendiente")</f>
        <v>Pendiente</v>
      </c>
    </row>
    <row r="1390" spans="1:9" hidden="1">
      <c r="A1390" s="2">
        <v>394949</v>
      </c>
      <c r="B1390" s="2">
        <v>64</v>
      </c>
      <c r="C1390" s="8">
        <v>3815490.75</v>
      </c>
      <c r="D1390" s="8">
        <v>1090826.54</v>
      </c>
      <c r="E1390" s="8">
        <v>130899.17</v>
      </c>
      <c r="F1390" s="8">
        <v>5037216.46</v>
      </c>
      <c r="G1390" s="7">
        <v>47599</v>
      </c>
      <c r="H1390" s="1" t="s">
        <v>30</v>
      </c>
      <c r="I1390" s="1" t="str">
        <f>IF(G1390&lt;=$K$1,"Pagado","Pendiente")</f>
        <v>Pendiente</v>
      </c>
    </row>
    <row r="1391" spans="1:9" hidden="1">
      <c r="A1391" s="2">
        <v>347916</v>
      </c>
      <c r="B1391" s="2">
        <v>70</v>
      </c>
      <c r="C1391" s="8">
        <v>7907339.0422063731</v>
      </c>
      <c r="D1391" s="8">
        <v>545844.72605305398</v>
      </c>
      <c r="E1391" s="8">
        <v>65501.36712636648</v>
      </c>
      <c r="F1391" s="8">
        <v>8518685.1353857927</v>
      </c>
      <c r="G1391" s="7">
        <v>47600</v>
      </c>
      <c r="H1391" s="1" t="s">
        <v>30</v>
      </c>
      <c r="I1391" s="1" t="str">
        <f>IF(G1391&lt;=$K$1,"Pagado","Pendiente")</f>
        <v>Pendiente</v>
      </c>
    </row>
    <row r="1392" spans="1:9" hidden="1">
      <c r="A1392" s="2">
        <v>23996</v>
      </c>
      <c r="B1392" s="2">
        <v>58</v>
      </c>
      <c r="C1392" s="8">
        <v>4582979.34</v>
      </c>
      <c r="D1392" s="8">
        <v>5973822.5899999999</v>
      </c>
      <c r="E1392" s="8">
        <v>717456.09</v>
      </c>
      <c r="F1392" s="8">
        <f>+C1392+D1392+E1392</f>
        <v>11274258.02</v>
      </c>
      <c r="G1392" s="7">
        <v>47616</v>
      </c>
      <c r="H1392" s="1" t="s">
        <v>31</v>
      </c>
      <c r="I1392" s="1" t="str">
        <f>IF(G1392&lt;=$K$1,"Pagado","Pendiente")</f>
        <v>Pendiente</v>
      </c>
    </row>
    <row r="1393" spans="1:9" hidden="1">
      <c r="A1393" s="2">
        <v>24004</v>
      </c>
      <c r="B1393" s="2">
        <v>58</v>
      </c>
      <c r="C1393" s="8">
        <v>5229531.4800000004</v>
      </c>
      <c r="D1393" s="8">
        <v>544978.09</v>
      </c>
      <c r="E1393" s="8">
        <v>65451.87</v>
      </c>
      <c r="F1393" s="8">
        <v>5839961.4400000004</v>
      </c>
      <c r="G1393" s="7">
        <v>47620</v>
      </c>
      <c r="H1393" s="1" t="s">
        <v>31</v>
      </c>
      <c r="I1393" s="1" t="str">
        <f>IF(G1393&lt;=$K$1,"Pagado","Pendiente")</f>
        <v>Pendiente</v>
      </c>
    </row>
    <row r="1394" spans="1:9" hidden="1">
      <c r="A1394" s="2">
        <v>23430</v>
      </c>
      <c r="B1394" s="2">
        <v>70</v>
      </c>
      <c r="C1394" s="8">
        <v>2825081.09</v>
      </c>
      <c r="D1394" s="8">
        <v>1764343.16</v>
      </c>
      <c r="E1394" s="8">
        <v>211721.18</v>
      </c>
      <c r="F1394" s="8">
        <v>4801145.43</v>
      </c>
      <c r="G1394" s="7">
        <v>47622</v>
      </c>
      <c r="H1394" s="1" t="s">
        <v>31</v>
      </c>
      <c r="I1394" s="1" t="str">
        <f>IF(G1394&lt;=$K$1,"Pagado","Pendiente")</f>
        <v>Pendiente</v>
      </c>
    </row>
    <row r="1395" spans="1:9" hidden="1">
      <c r="A1395" s="2">
        <v>23467</v>
      </c>
      <c r="B1395" s="2">
        <v>69</v>
      </c>
      <c r="C1395" s="8">
        <v>10594054.220000001</v>
      </c>
      <c r="G1395" s="7">
        <v>47622</v>
      </c>
      <c r="H1395" s="1" t="s">
        <v>31</v>
      </c>
      <c r="I1395" s="1" t="str">
        <f>IF(G1395&lt;=$K$1,"Pagado","Pendiente")</f>
        <v>Pendiente</v>
      </c>
    </row>
    <row r="1396" spans="1:9" hidden="1">
      <c r="A1396" s="2">
        <v>394949</v>
      </c>
      <c r="B1396" s="2">
        <v>65</v>
      </c>
      <c r="C1396" s="8">
        <v>3923596.32</v>
      </c>
      <c r="D1396" s="8">
        <v>982720.97</v>
      </c>
      <c r="E1396" s="8">
        <v>117926.51</v>
      </c>
      <c r="F1396" s="8">
        <v>5024243.8</v>
      </c>
      <c r="G1396" s="7">
        <v>47629</v>
      </c>
      <c r="H1396" s="1" t="s">
        <v>30</v>
      </c>
      <c r="I1396" s="1" t="str">
        <f>IF(G1396&lt;=$K$1,"Pagado","Pendiente")</f>
        <v>Pendiente</v>
      </c>
    </row>
    <row r="1397" spans="1:9" hidden="1">
      <c r="A1397" s="2">
        <v>347916</v>
      </c>
      <c r="B1397" s="2">
        <v>71</v>
      </c>
      <c r="C1397" s="8">
        <v>8085254.1706560161</v>
      </c>
      <c r="D1397" s="8">
        <v>367929.59760341054</v>
      </c>
      <c r="E1397" s="8">
        <v>44151.551712409266</v>
      </c>
      <c r="F1397" s="8">
        <v>8497335.3199718352</v>
      </c>
      <c r="G1397" s="7">
        <v>47630</v>
      </c>
      <c r="H1397" s="1" t="s">
        <v>30</v>
      </c>
      <c r="I1397" s="1" t="str">
        <f>IF(G1397&lt;=$K$1,"Pagado","Pendiente")</f>
        <v>Pendiente</v>
      </c>
    </row>
    <row r="1398" spans="1:9" hidden="1">
      <c r="A1398" s="2">
        <v>23996</v>
      </c>
      <c r="B1398" s="2">
        <v>59</v>
      </c>
      <c r="C1398" s="8">
        <v>4726825.25</v>
      </c>
      <c r="D1398" s="8">
        <v>5829976.6799999997</v>
      </c>
      <c r="E1398" s="8">
        <v>700180.2</v>
      </c>
      <c r="F1398" s="8">
        <f>+C1398+D1398+E1398</f>
        <v>11256982.129999999</v>
      </c>
      <c r="G1398" s="7">
        <v>47647</v>
      </c>
      <c r="H1398" s="1" t="s">
        <v>31</v>
      </c>
      <c r="I1398" s="1" t="str">
        <f>IF(G1398&lt;=$K$1,"Pagado","Pendiente")</f>
        <v>Pendiente</v>
      </c>
    </row>
    <row r="1399" spans="1:9" hidden="1">
      <c r="A1399" s="2">
        <v>24004</v>
      </c>
      <c r="B1399" s="2">
        <v>59</v>
      </c>
      <c r="C1399" s="8">
        <v>5405222.25</v>
      </c>
      <c r="D1399" s="8">
        <v>369287.32</v>
      </c>
      <c r="E1399" s="8">
        <v>44351.41</v>
      </c>
      <c r="F1399" s="8">
        <v>5818860.9800000004</v>
      </c>
      <c r="G1399" s="7">
        <v>47651</v>
      </c>
      <c r="H1399" s="1" t="s">
        <v>31</v>
      </c>
      <c r="I1399" s="1" t="str">
        <f>IF(G1399&lt;=$K$1,"Pagado","Pendiente")</f>
        <v>Pendiente</v>
      </c>
    </row>
    <row r="1400" spans="1:9" hidden="1">
      <c r="A1400" s="2">
        <v>23430</v>
      </c>
      <c r="B1400" s="2">
        <v>71</v>
      </c>
      <c r="C1400" s="8">
        <v>2917960.47</v>
      </c>
      <c r="D1400" s="8">
        <v>1671463.78</v>
      </c>
      <c r="E1400" s="8">
        <v>200575.66</v>
      </c>
      <c r="F1400" s="8">
        <v>4789999.91</v>
      </c>
      <c r="G1400" s="7">
        <v>47653</v>
      </c>
      <c r="H1400" s="1" t="s">
        <v>31</v>
      </c>
      <c r="I1400" s="1" t="str">
        <f>IF(G1400&lt;=$K$1,"Pagado","Pendiente")</f>
        <v>Pendiente</v>
      </c>
    </row>
    <row r="1401" spans="1:9" hidden="1">
      <c r="A1401" s="2">
        <v>23467</v>
      </c>
      <c r="B1401" s="2">
        <v>70</v>
      </c>
      <c r="C1401" s="8">
        <v>10942351.890000001</v>
      </c>
      <c r="G1401" s="7">
        <v>47653</v>
      </c>
      <c r="H1401" s="1" t="s">
        <v>31</v>
      </c>
      <c r="I1401" s="1" t="str">
        <f>IF(G1401&lt;=$K$1,"Pagado","Pendiente")</f>
        <v>Pendiente</v>
      </c>
    </row>
    <row r="1402" spans="1:9" hidden="1">
      <c r="A1402" s="2">
        <v>394949</v>
      </c>
      <c r="B1402" s="2">
        <v>66</v>
      </c>
      <c r="C1402" s="8">
        <v>4034764.89</v>
      </c>
      <c r="D1402" s="8">
        <v>871552.4</v>
      </c>
      <c r="E1402" s="8">
        <v>104586.28</v>
      </c>
      <c r="F1402" s="8">
        <v>5010903.57</v>
      </c>
      <c r="G1402" s="7">
        <v>47660</v>
      </c>
      <c r="H1402" s="1" t="s">
        <v>30</v>
      </c>
      <c r="I1402" s="1" t="str">
        <f>IF(G1402&lt;=$K$1,"Pagado","Pendiente")</f>
        <v>Pendiente</v>
      </c>
    </row>
    <row r="1403" spans="1:9" hidden="1">
      <c r="A1403" s="2">
        <v>24004</v>
      </c>
      <c r="B1403" s="2">
        <v>1</v>
      </c>
      <c r="C1403" s="8">
        <v>2582900.02</v>
      </c>
      <c r="D1403" s="8">
        <v>3191609.55</v>
      </c>
      <c r="E1403" s="8">
        <v>383312.3</v>
      </c>
      <c r="F1403" s="8">
        <v>6157821.8700000001</v>
      </c>
      <c r="G1403" s="7">
        <v>45886</v>
      </c>
      <c r="H1403" s="1" t="s">
        <v>31</v>
      </c>
      <c r="I1403" s="1" t="str">
        <f>IF(G1403&lt;=$K$1,"Pagado","Pendiente")</f>
        <v>Pagado</v>
      </c>
    </row>
    <row r="1404" spans="1:9" hidden="1">
      <c r="A1404" s="2">
        <v>347916</v>
      </c>
      <c r="B1404" s="2">
        <v>72</v>
      </c>
      <c r="C1404" s="8">
        <v>8267172.389495776</v>
      </c>
      <c r="D1404" s="8">
        <v>186011.37876365019</v>
      </c>
      <c r="E1404" s="8">
        <v>22321.365451638023</v>
      </c>
      <c r="F1404" s="8">
        <v>8475505.1337110642</v>
      </c>
      <c r="G1404" s="7">
        <v>47661</v>
      </c>
      <c r="H1404" s="1" t="s">
        <v>30</v>
      </c>
      <c r="I1404" s="1" t="str">
        <f>IF(G1404&lt;=$K$1,"Pagado","Pendiente")</f>
        <v>Pendiente</v>
      </c>
    </row>
    <row r="1405" spans="1:9" hidden="1">
      <c r="A1405" s="2">
        <v>23996</v>
      </c>
      <c r="B1405" s="2">
        <v>60</v>
      </c>
      <c r="C1405" s="8">
        <v>4875186.04</v>
      </c>
      <c r="D1405" s="8">
        <v>5681615.8899999997</v>
      </c>
      <c r="E1405" s="8">
        <v>682362.07</v>
      </c>
      <c r="F1405" s="8">
        <f>+C1405+D1405+E1405</f>
        <v>11239164</v>
      </c>
      <c r="G1405" s="7">
        <v>47677</v>
      </c>
      <c r="H1405" s="1" t="s">
        <v>31</v>
      </c>
      <c r="I1405" s="1" t="str">
        <f>IF(G1405&lt;=$K$1,"Pagado","Pendiente")</f>
        <v>Pendiente</v>
      </c>
    </row>
    <row r="1406" spans="1:9" hidden="1">
      <c r="A1406" s="2">
        <v>24004</v>
      </c>
      <c r="B1406" s="2">
        <v>60</v>
      </c>
      <c r="C1406" s="8">
        <v>5586816.3799999999</v>
      </c>
      <c r="D1406" s="8">
        <v>187694.07</v>
      </c>
      <c r="E1406" s="8">
        <v>22542.06</v>
      </c>
      <c r="F1406" s="8">
        <v>5797052.5099999998</v>
      </c>
      <c r="G1406" s="7">
        <v>47681</v>
      </c>
      <c r="H1406" s="1" t="s">
        <v>31</v>
      </c>
      <c r="I1406" s="1" t="str">
        <f>IF(G1406&lt;=$K$1,"Pagado","Pendiente")</f>
        <v>Pendiente</v>
      </c>
    </row>
    <row r="1407" spans="1:9" hidden="1">
      <c r="A1407" s="2">
        <v>23430</v>
      </c>
      <c r="B1407" s="2">
        <v>72</v>
      </c>
      <c r="C1407" s="8">
        <v>3013893.41</v>
      </c>
      <c r="D1407" s="8">
        <v>1575530.84</v>
      </c>
      <c r="E1407" s="8">
        <v>189063.7</v>
      </c>
      <c r="F1407" s="8">
        <v>4778487.95</v>
      </c>
      <c r="G1407" s="7">
        <v>47683</v>
      </c>
      <c r="H1407" s="1" t="s">
        <v>31</v>
      </c>
      <c r="I1407" s="1" t="str">
        <f>IF(G1407&lt;=$K$1,"Pagado","Pendiente")</f>
        <v>Pendiente</v>
      </c>
    </row>
    <row r="1408" spans="1:9" hidden="1">
      <c r="A1408" s="2">
        <v>23467</v>
      </c>
      <c r="B1408" s="2">
        <v>71</v>
      </c>
      <c r="C1408" s="8">
        <v>11302100.439999999</v>
      </c>
      <c r="G1408" s="7">
        <v>47683</v>
      </c>
      <c r="H1408" s="1" t="s">
        <v>31</v>
      </c>
      <c r="I1408" s="1" t="str">
        <f>IF(G1408&lt;=$K$1,"Pagado","Pendiente")</f>
        <v>Pendiente</v>
      </c>
    </row>
    <row r="1409" spans="1:9" hidden="1">
      <c r="A1409" s="2">
        <v>394949</v>
      </c>
      <c r="B1409" s="2">
        <v>67</v>
      </c>
      <c r="C1409" s="8">
        <v>4149083.22</v>
      </c>
      <c r="D1409" s="8">
        <v>757234.07</v>
      </c>
      <c r="E1409" s="8">
        <v>90868.08</v>
      </c>
      <c r="F1409" s="8">
        <v>4997185.37</v>
      </c>
      <c r="G1409" s="7">
        <v>47690</v>
      </c>
      <c r="H1409" s="1" t="s">
        <v>30</v>
      </c>
      <c r="I1409" s="1" t="str">
        <f>IF(G1409&lt;=$K$1,"Pagado","Pendiente")</f>
        <v>Pendiente</v>
      </c>
    </row>
    <row r="1410" spans="1:9" hidden="1">
      <c r="A1410" s="2">
        <v>23996</v>
      </c>
      <c r="B1410" s="2">
        <v>61</v>
      </c>
      <c r="C1410" s="8">
        <v>5028203.4400000004</v>
      </c>
      <c r="D1410" s="8">
        <v>5528598.4900000002</v>
      </c>
      <c r="E1410" s="8">
        <v>663984.68000000005</v>
      </c>
      <c r="F1410" s="8">
        <f>+C1410+D1410+E1410</f>
        <v>11220786.609999999</v>
      </c>
      <c r="G1410" s="7">
        <v>47708</v>
      </c>
      <c r="H1410" s="1" t="s">
        <v>31</v>
      </c>
      <c r="I1410" s="1" t="str">
        <f>IF(G1410&lt;=$K$1,"Pagado","Pendiente")</f>
        <v>Pendiente</v>
      </c>
    </row>
    <row r="1411" spans="1:9" hidden="1">
      <c r="A1411" s="2">
        <v>23430</v>
      </c>
      <c r="B1411" s="2">
        <v>73</v>
      </c>
      <c r="C1411" s="8">
        <v>3112980.32</v>
      </c>
      <c r="D1411" s="8">
        <v>1476443.93</v>
      </c>
      <c r="E1411" s="8">
        <v>177173.27</v>
      </c>
      <c r="F1411" s="8">
        <v>4766597.5199999996</v>
      </c>
      <c r="G1411" s="7">
        <v>47714</v>
      </c>
      <c r="H1411" s="1" t="s">
        <v>31</v>
      </c>
      <c r="I1411" s="1" t="str">
        <f>IF(G1411&lt;=$K$1,"Pagado","Pendiente")</f>
        <v>Pendiente</v>
      </c>
    </row>
    <row r="1412" spans="1:9" hidden="1">
      <c r="A1412" s="2">
        <v>23467</v>
      </c>
      <c r="B1412" s="2">
        <v>72</v>
      </c>
      <c r="C1412" s="8">
        <v>11673676.34</v>
      </c>
      <c r="G1412" s="7">
        <v>47714</v>
      </c>
      <c r="H1412" s="1" t="s">
        <v>31</v>
      </c>
      <c r="I1412" s="1" t="str">
        <f>IF(G1412&lt;=$K$1,"Pagado","Pendiente")</f>
        <v>Pendiente</v>
      </c>
    </row>
    <row r="1413" spans="1:9" hidden="1">
      <c r="A1413" s="2">
        <v>394949</v>
      </c>
      <c r="B1413" s="2">
        <v>68</v>
      </c>
      <c r="C1413" s="8">
        <v>4266640.58</v>
      </c>
      <c r="D1413" s="8">
        <v>639676.71</v>
      </c>
      <c r="E1413" s="8">
        <v>76761.2</v>
      </c>
      <c r="F1413" s="8">
        <v>4983078.49</v>
      </c>
      <c r="G1413" s="7">
        <v>47721</v>
      </c>
      <c r="H1413" s="1" t="s">
        <v>30</v>
      </c>
      <c r="I1413" s="1" t="str">
        <f>IF(G1413&lt;=$K$1,"Pagado","Pendiente")</f>
        <v>Pendiente</v>
      </c>
    </row>
    <row r="1414" spans="1:9" hidden="1">
      <c r="A1414" s="2">
        <v>23996</v>
      </c>
      <c r="B1414" s="2">
        <v>62</v>
      </c>
      <c r="C1414" s="8">
        <v>5186023.59</v>
      </c>
      <c r="D1414" s="8">
        <v>5370778.3399999999</v>
      </c>
      <c r="E1414" s="8">
        <v>645030.49</v>
      </c>
      <c r="F1414" s="8">
        <f>+C1414+D1414+E1414</f>
        <v>11201832.42</v>
      </c>
      <c r="G1414" s="7">
        <v>47739</v>
      </c>
      <c r="H1414" s="1" t="s">
        <v>31</v>
      </c>
      <c r="I1414" s="1" t="str">
        <f>IF(G1414&lt;=$K$1,"Pagado","Pendiente")</f>
        <v>Pendiente</v>
      </c>
    </row>
    <row r="1415" spans="1:9" hidden="1">
      <c r="A1415" s="2">
        <v>23430</v>
      </c>
      <c r="B1415" s="2">
        <v>74</v>
      </c>
      <c r="C1415" s="8">
        <v>3215324.88</v>
      </c>
      <c r="D1415" s="8">
        <v>1374099.37</v>
      </c>
      <c r="E1415" s="8">
        <v>164891.92000000001</v>
      </c>
      <c r="F1415" s="8">
        <v>4754316.17</v>
      </c>
      <c r="G1415" s="7">
        <v>47745</v>
      </c>
      <c r="H1415" s="1" t="s">
        <v>31</v>
      </c>
      <c r="I1415" s="1" t="str">
        <f>IF(G1415&lt;=$K$1,"Pagado","Pendiente")</f>
        <v>Pendiente</v>
      </c>
    </row>
    <row r="1416" spans="1:9" hidden="1">
      <c r="A1416" s="2">
        <v>23467</v>
      </c>
      <c r="B1416" s="2">
        <v>73</v>
      </c>
      <c r="C1416" s="8">
        <v>12057468.439999999</v>
      </c>
      <c r="G1416" s="7">
        <v>47745</v>
      </c>
      <c r="H1416" s="1" t="s">
        <v>31</v>
      </c>
      <c r="I1416" s="1" t="str">
        <f>IF(G1416&lt;=$K$1,"Pagado","Pendiente")</f>
        <v>Pendiente</v>
      </c>
    </row>
    <row r="1417" spans="1:9" hidden="1">
      <c r="A1417" s="2">
        <v>394949</v>
      </c>
      <c r="B1417" s="2">
        <v>69</v>
      </c>
      <c r="C1417" s="8">
        <v>4387528.7300000004</v>
      </c>
      <c r="D1417" s="8">
        <v>518788.56</v>
      </c>
      <c r="E1417" s="8">
        <v>62254.61</v>
      </c>
      <c r="F1417" s="8">
        <v>4968571.9000000004</v>
      </c>
      <c r="G1417" s="7">
        <v>47752</v>
      </c>
      <c r="H1417" s="1" t="s">
        <v>30</v>
      </c>
      <c r="I1417" s="1" t="str">
        <f>IF(G1417&lt;=$K$1,"Pagado","Pendiente")</f>
        <v>Pendiente</v>
      </c>
    </row>
    <row r="1418" spans="1:9" hidden="1">
      <c r="A1418" s="2">
        <v>23996</v>
      </c>
      <c r="B1418" s="2">
        <v>63</v>
      </c>
      <c r="C1418" s="8">
        <v>5348797.24</v>
      </c>
      <c r="D1418" s="8">
        <v>5208004.6900000004</v>
      </c>
      <c r="E1418" s="8">
        <v>625481.36</v>
      </c>
      <c r="F1418" s="8">
        <f>+C1418+D1418+E1418</f>
        <v>11182283.289999999</v>
      </c>
      <c r="G1418" s="7">
        <v>47769</v>
      </c>
      <c r="H1418" s="1" t="s">
        <v>31</v>
      </c>
      <c r="I1418" s="1" t="str">
        <f>IF(G1418&lt;=$K$1,"Pagado","Pendiente")</f>
        <v>Pendiente</v>
      </c>
    </row>
    <row r="1419" spans="1:9" hidden="1">
      <c r="A1419" s="2">
        <v>23430</v>
      </c>
      <c r="B1419" s="2">
        <v>75</v>
      </c>
      <c r="C1419" s="8">
        <v>3321034.19</v>
      </c>
      <c r="D1419" s="8">
        <v>1268390.06</v>
      </c>
      <c r="E1419" s="8">
        <v>152206.81</v>
      </c>
      <c r="F1419" s="8">
        <v>4741631.0599999996</v>
      </c>
      <c r="G1419" s="7">
        <v>47775</v>
      </c>
      <c r="H1419" s="1" t="s">
        <v>31</v>
      </c>
      <c r="I1419" s="1" t="str">
        <f>IF(G1419&lt;=$K$1,"Pagado","Pendiente")</f>
        <v>Pendiente</v>
      </c>
    </row>
    <row r="1420" spans="1:9" hidden="1">
      <c r="A1420" s="2">
        <v>23467</v>
      </c>
      <c r="B1420" s="2">
        <v>74</v>
      </c>
      <c r="C1420" s="8">
        <v>12453878.35</v>
      </c>
      <c r="G1420" s="7">
        <v>47775</v>
      </c>
      <c r="H1420" s="1" t="s">
        <v>31</v>
      </c>
      <c r="I1420" s="1" t="str">
        <f>IF(G1420&lt;=$K$1,"Pagado","Pendiente")</f>
        <v>Pendiente</v>
      </c>
    </row>
    <row r="1421" spans="1:9" hidden="1">
      <c r="A1421" s="2">
        <v>394949</v>
      </c>
      <c r="B1421" s="2">
        <v>70</v>
      </c>
      <c r="C1421" s="8">
        <v>4511842.05</v>
      </c>
      <c r="D1421" s="8">
        <v>394475.24</v>
      </c>
      <c r="E1421" s="8">
        <v>47337.02</v>
      </c>
      <c r="F1421" s="8">
        <v>4953654.3099999996</v>
      </c>
      <c r="G1421" s="7">
        <v>47782</v>
      </c>
      <c r="H1421" s="1" t="s">
        <v>30</v>
      </c>
      <c r="I1421" s="1" t="str">
        <f>IF(G1421&lt;=$K$1,"Pagado","Pendiente")</f>
        <v>Pendiente</v>
      </c>
    </row>
    <row r="1422" spans="1:9" hidden="1">
      <c r="A1422" s="2">
        <v>23996</v>
      </c>
      <c r="B1422" s="2">
        <v>64</v>
      </c>
      <c r="C1422" s="8">
        <v>5516679.8700000001</v>
      </c>
      <c r="D1422" s="8">
        <v>5040122.0599999996</v>
      </c>
      <c r="E1422" s="8">
        <v>605318.66</v>
      </c>
      <c r="F1422" s="8">
        <f>+C1422+D1422+E1422</f>
        <v>11162120.59</v>
      </c>
      <c r="G1422" s="7">
        <v>47800</v>
      </c>
      <c r="H1422" s="1" t="s">
        <v>31</v>
      </c>
      <c r="I1422" s="1" t="str">
        <f>IF(G1422&lt;=$K$1,"Pagado","Pendiente")</f>
        <v>Pendiente</v>
      </c>
    </row>
    <row r="1423" spans="1:9" hidden="1">
      <c r="A1423" s="2">
        <v>23430</v>
      </c>
      <c r="B1423" s="2">
        <v>76</v>
      </c>
      <c r="C1423" s="8">
        <v>3430218.87</v>
      </c>
      <c r="D1423" s="8">
        <v>1159205.3799999999</v>
      </c>
      <c r="E1423" s="8">
        <v>139104.64000000001</v>
      </c>
      <c r="F1423" s="8">
        <v>4728528.8899999997</v>
      </c>
      <c r="G1423" s="7">
        <v>47806</v>
      </c>
      <c r="H1423" s="1" t="s">
        <v>31</v>
      </c>
      <c r="I1423" s="1" t="str">
        <f>IF(G1423&lt;=$K$1,"Pagado","Pendiente")</f>
        <v>Pendiente</v>
      </c>
    </row>
    <row r="1424" spans="1:9" hidden="1">
      <c r="A1424" s="2">
        <v>23467</v>
      </c>
      <c r="B1424" s="2">
        <v>75</v>
      </c>
      <c r="C1424" s="8">
        <v>12863320.93</v>
      </c>
      <c r="G1424" s="7">
        <v>47806</v>
      </c>
      <c r="H1424" s="1" t="s">
        <v>31</v>
      </c>
      <c r="I1424" s="1" t="str">
        <f>IF(G1424&lt;=$K$1,"Pagado","Pendiente")</f>
        <v>Pendiente</v>
      </c>
    </row>
    <row r="1425" spans="1:9" hidden="1">
      <c r="A1425" s="2">
        <v>394949</v>
      </c>
      <c r="B1425" s="2">
        <v>71</v>
      </c>
      <c r="C1425" s="8">
        <v>4639677.57</v>
      </c>
      <c r="D1425" s="8">
        <v>266639.71999999997</v>
      </c>
      <c r="E1425" s="8">
        <v>31996.76</v>
      </c>
      <c r="F1425" s="8">
        <v>4938314.05</v>
      </c>
      <c r="G1425" s="7">
        <v>47813</v>
      </c>
      <c r="H1425" s="1" t="s">
        <v>30</v>
      </c>
      <c r="I1425" s="1" t="str">
        <f>IF(G1425&lt;=$K$1,"Pagado","Pendiente")</f>
        <v>Pendiente</v>
      </c>
    </row>
    <row r="1426" spans="1:9" hidden="1">
      <c r="A1426" s="2">
        <v>23996</v>
      </c>
      <c r="B1426" s="2">
        <v>65</v>
      </c>
      <c r="C1426" s="8">
        <v>5689831.8200000003</v>
      </c>
      <c r="D1426" s="8">
        <v>4866970.1100000003</v>
      </c>
      <c r="E1426" s="8">
        <v>584523.11</v>
      </c>
      <c r="F1426" s="8">
        <f>+C1426+D1426+E1426</f>
        <v>11141325.039999999</v>
      </c>
      <c r="G1426" s="7">
        <v>47830</v>
      </c>
      <c r="H1426" s="1" t="s">
        <v>31</v>
      </c>
      <c r="I1426" s="1" t="str">
        <f>IF(G1426&lt;=$K$1,"Pagado","Pendiente")</f>
        <v>Pendiente</v>
      </c>
    </row>
    <row r="1427" spans="1:9" hidden="1">
      <c r="A1427" s="2">
        <v>23430</v>
      </c>
      <c r="B1427" s="2">
        <v>77</v>
      </c>
      <c r="C1427" s="8">
        <v>3542993.19</v>
      </c>
      <c r="D1427" s="8">
        <v>1046431.06</v>
      </c>
      <c r="E1427" s="8">
        <v>125571.73</v>
      </c>
      <c r="F1427" s="8">
        <v>4714995.9800000004</v>
      </c>
      <c r="G1427" s="7">
        <v>47836</v>
      </c>
      <c r="H1427" s="1" t="s">
        <v>31</v>
      </c>
      <c r="I1427" s="1" t="str">
        <f>IF(G1427&lt;=$K$1,"Pagado","Pendiente")</f>
        <v>Pendiente</v>
      </c>
    </row>
    <row r="1428" spans="1:9" hidden="1">
      <c r="A1428" s="2">
        <v>23467</v>
      </c>
      <c r="B1428" s="2">
        <v>76</v>
      </c>
      <c r="C1428" s="8">
        <v>13286224.619999999</v>
      </c>
      <c r="G1428" s="7">
        <v>47836</v>
      </c>
      <c r="H1428" s="1" t="s">
        <v>31</v>
      </c>
      <c r="I1428" s="1" t="str">
        <f>IF(G1428&lt;=$K$1,"Pagado","Pendiente")</f>
        <v>Pendiente</v>
      </c>
    </row>
    <row r="1429" spans="1:9" hidden="1">
      <c r="A1429" s="2">
        <v>394949</v>
      </c>
      <c r="B1429" s="2">
        <v>72</v>
      </c>
      <c r="C1429" s="8">
        <v>4771136.0599999996</v>
      </c>
      <c r="D1429" s="8">
        <v>135182.19</v>
      </c>
      <c r="E1429" s="8">
        <v>16221.85</v>
      </c>
      <c r="F1429" s="8">
        <v>4922540.0999999996</v>
      </c>
      <c r="G1429" s="7">
        <v>47843</v>
      </c>
      <c r="H1429" s="1" t="s">
        <v>30</v>
      </c>
      <c r="I1429" s="1" t="str">
        <f>IF(G1429&lt;=$K$1,"Pagado","Pendiente")</f>
        <v>Pendiente</v>
      </c>
    </row>
    <row r="1430" spans="1:9" hidden="1">
      <c r="A1430" s="2">
        <v>23996</v>
      </c>
      <c r="B1430" s="2">
        <v>66</v>
      </c>
      <c r="C1430" s="8">
        <v>5868418.4900000002</v>
      </c>
      <c r="D1430" s="8">
        <v>4688383.4400000004</v>
      </c>
      <c r="E1430" s="8">
        <v>563074.85</v>
      </c>
      <c r="F1430" s="8">
        <f>+C1430+D1430+E1430</f>
        <v>11119876.779999999</v>
      </c>
      <c r="G1430" s="7">
        <v>47861</v>
      </c>
      <c r="H1430" s="1" t="s">
        <v>31</v>
      </c>
      <c r="I1430" s="1" t="str">
        <f>IF(G1430&lt;=$K$1,"Pagado","Pendiente")</f>
        <v>Pendiente</v>
      </c>
    </row>
    <row r="1431" spans="1:9" hidden="1">
      <c r="A1431" s="2">
        <v>23430</v>
      </c>
      <c r="B1431" s="2">
        <v>78</v>
      </c>
      <c r="C1431" s="8">
        <v>3659475.15</v>
      </c>
      <c r="D1431" s="8">
        <v>929949.1</v>
      </c>
      <c r="E1431" s="8">
        <v>111593.9</v>
      </c>
      <c r="F1431" s="8">
        <v>4701018.1500000004</v>
      </c>
      <c r="G1431" s="7">
        <v>47867</v>
      </c>
      <c r="H1431" s="1" t="s">
        <v>31</v>
      </c>
      <c r="I1431" s="1" t="str">
        <f>IF(G1431&lt;=$K$1,"Pagado","Pendiente")</f>
        <v>Pendiente</v>
      </c>
    </row>
    <row r="1432" spans="1:9" hidden="1">
      <c r="A1432" s="2">
        <v>23467</v>
      </c>
      <c r="B1432" s="2">
        <v>77</v>
      </c>
      <c r="C1432" s="8">
        <v>13723032</v>
      </c>
      <c r="G1432" s="7">
        <v>47867</v>
      </c>
      <c r="H1432" s="1" t="s">
        <v>31</v>
      </c>
      <c r="I1432" s="1" t="str">
        <f>IF(G1432&lt;=$K$1,"Pagado","Pendiente")</f>
        <v>Pendiente</v>
      </c>
    </row>
    <row r="1433" spans="1:9" hidden="1">
      <c r="A1433" s="2">
        <v>23996</v>
      </c>
      <c r="B1433" s="2">
        <v>67</v>
      </c>
      <c r="C1433" s="8">
        <v>6052610.46</v>
      </c>
      <c r="D1433" s="8">
        <v>4504191.47</v>
      </c>
      <c r="E1433" s="8">
        <v>540953.39</v>
      </c>
      <c r="F1433" s="8">
        <f>+C1433+D1433+E1433</f>
        <v>11097755.32</v>
      </c>
      <c r="G1433" s="7">
        <v>47892</v>
      </c>
      <c r="H1433" s="1" t="s">
        <v>31</v>
      </c>
      <c r="I1433" s="1" t="str">
        <f>IF(G1433&lt;=$K$1,"Pagado","Pendiente")</f>
        <v>Pendiente</v>
      </c>
    </row>
    <row r="1434" spans="1:9" hidden="1">
      <c r="A1434" s="2">
        <v>23430</v>
      </c>
      <c r="B1434" s="2">
        <v>79</v>
      </c>
      <c r="C1434" s="8">
        <v>3779786.67</v>
      </c>
      <c r="D1434" s="8">
        <v>809637.58</v>
      </c>
      <c r="E1434" s="8">
        <v>97156.51</v>
      </c>
      <c r="F1434" s="8">
        <v>4686580.76</v>
      </c>
      <c r="G1434" s="7">
        <v>47898</v>
      </c>
      <c r="H1434" s="1" t="s">
        <v>31</v>
      </c>
      <c r="I1434" s="1" t="str">
        <f>IF(G1434&lt;=$K$1,"Pagado","Pendiente")</f>
        <v>Pendiente</v>
      </c>
    </row>
    <row r="1435" spans="1:9" hidden="1">
      <c r="A1435" s="2">
        <v>23467</v>
      </c>
      <c r="B1435" s="2">
        <v>78</v>
      </c>
      <c r="C1435" s="8">
        <v>14174200.17</v>
      </c>
      <c r="G1435" s="7">
        <v>47898</v>
      </c>
      <c r="H1435" s="1" t="s">
        <v>31</v>
      </c>
      <c r="I1435" s="1" t="str">
        <f>IF(G1435&lt;=$K$1,"Pagado","Pendiente")</f>
        <v>Pendiente</v>
      </c>
    </row>
    <row r="1436" spans="1:9" hidden="1">
      <c r="A1436" s="2">
        <v>23996</v>
      </c>
      <c r="B1436" s="2">
        <v>68</v>
      </c>
      <c r="C1436" s="8">
        <v>6242583.6600000001</v>
      </c>
      <c r="D1436" s="8">
        <v>4314218.2699999996</v>
      </c>
      <c r="E1436" s="8">
        <v>518137.61</v>
      </c>
      <c r="F1436" s="8">
        <f>+C1436+D1436+E1436</f>
        <v>11074939.539999999</v>
      </c>
      <c r="G1436" s="7">
        <v>47920</v>
      </c>
      <c r="H1436" s="1" t="s">
        <v>31</v>
      </c>
      <c r="I1436" s="1" t="str">
        <f>IF(G1436&lt;=$K$1,"Pagado","Pendiente")</f>
        <v>Pendiente</v>
      </c>
    </row>
    <row r="1437" spans="1:9" hidden="1">
      <c r="A1437" s="2">
        <v>23430</v>
      </c>
      <c r="B1437" s="2">
        <v>80</v>
      </c>
      <c r="C1437" s="8">
        <v>3904053.62</v>
      </c>
      <c r="D1437" s="8">
        <v>685370.63</v>
      </c>
      <c r="E1437" s="8">
        <v>82244.479999999996</v>
      </c>
      <c r="F1437" s="8">
        <v>4671668.7300000004</v>
      </c>
      <c r="G1437" s="7">
        <v>47926</v>
      </c>
      <c r="H1437" s="1" t="s">
        <v>31</v>
      </c>
      <c r="I1437" s="1" t="str">
        <f>IF(G1437&lt;=$K$1,"Pagado","Pendiente")</f>
        <v>Pendiente</v>
      </c>
    </row>
    <row r="1438" spans="1:9" hidden="1">
      <c r="A1438" s="2">
        <v>23467</v>
      </c>
      <c r="B1438" s="2">
        <v>79</v>
      </c>
      <c r="C1438" s="8">
        <v>14640201.27</v>
      </c>
      <c r="G1438" s="7">
        <v>47926</v>
      </c>
      <c r="H1438" s="1" t="s">
        <v>31</v>
      </c>
      <c r="I1438" s="1" t="str">
        <f>IF(G1438&lt;=$K$1,"Pagado","Pendiente")</f>
        <v>Pendiente</v>
      </c>
    </row>
    <row r="1439" spans="1:9" hidden="1">
      <c r="A1439" s="2">
        <v>23996</v>
      </c>
      <c r="B1439" s="2">
        <v>69</v>
      </c>
      <c r="C1439" s="8">
        <v>6438519.5499999998</v>
      </c>
      <c r="D1439" s="8">
        <v>4118282.38</v>
      </c>
      <c r="E1439" s="8">
        <v>494605.72</v>
      </c>
      <c r="F1439" s="8">
        <f>+C1439+D1439+E1439</f>
        <v>11051407.65</v>
      </c>
      <c r="G1439" s="7">
        <v>47951</v>
      </c>
      <c r="H1439" s="1" t="s">
        <v>31</v>
      </c>
      <c r="I1439" s="1" t="str">
        <f>IF(G1439&lt;=$K$1,"Pagado","Pendiente")</f>
        <v>Pendiente</v>
      </c>
    </row>
    <row r="1440" spans="1:9" hidden="1">
      <c r="A1440" s="2">
        <v>23430</v>
      </c>
      <c r="B1440" s="2">
        <v>81</v>
      </c>
      <c r="C1440" s="8">
        <v>4032406.07</v>
      </c>
      <c r="D1440" s="8">
        <v>557018.18000000005</v>
      </c>
      <c r="E1440" s="8">
        <v>66842.179999999993</v>
      </c>
      <c r="F1440" s="8">
        <v>4656266.43</v>
      </c>
      <c r="G1440" s="7">
        <v>47957</v>
      </c>
      <c r="H1440" s="1" t="s">
        <v>31</v>
      </c>
      <c r="I1440" s="1" t="str">
        <f>IF(G1440&lt;=$K$1,"Pagado","Pendiente")</f>
        <v>Pendiente</v>
      </c>
    </row>
    <row r="1441" spans="1:9" hidden="1">
      <c r="A1441" s="2">
        <v>23467</v>
      </c>
      <c r="B1441" s="2">
        <v>80</v>
      </c>
      <c r="C1441" s="8">
        <v>15121522.949999999</v>
      </c>
      <c r="G1441" s="7">
        <v>47957</v>
      </c>
      <c r="H1441" s="1" t="s">
        <v>31</v>
      </c>
      <c r="I1441" s="1" t="str">
        <f>IF(G1441&lt;=$K$1,"Pagado","Pendiente")</f>
        <v>Pendiente</v>
      </c>
    </row>
    <row r="1442" spans="1:9" hidden="1">
      <c r="A1442" s="2">
        <v>23996</v>
      </c>
      <c r="B1442" s="2">
        <v>70</v>
      </c>
      <c r="C1442" s="8">
        <v>6640605.2699999996</v>
      </c>
      <c r="D1442" s="8">
        <v>3916196.66</v>
      </c>
      <c r="E1442" s="8">
        <v>470335.22</v>
      </c>
      <c r="F1442" s="8">
        <f>+C1442+D1442+E1442</f>
        <v>11027137.15</v>
      </c>
      <c r="G1442" s="7">
        <v>47981</v>
      </c>
      <c r="H1442" s="1" t="s">
        <v>31</v>
      </c>
      <c r="I1442" s="1" t="str">
        <f>IF(G1442&lt;=$K$1,"Pagado","Pendiente")</f>
        <v>Pendiente</v>
      </c>
    </row>
    <row r="1443" spans="1:9" hidden="1">
      <c r="A1443" s="2">
        <v>23430</v>
      </c>
      <c r="B1443" s="2">
        <v>82</v>
      </c>
      <c r="C1443" s="8">
        <v>4164978.32</v>
      </c>
      <c r="D1443" s="8">
        <v>424445.93</v>
      </c>
      <c r="E1443" s="8">
        <v>50933.51</v>
      </c>
      <c r="F1443" s="8">
        <v>4640357.76</v>
      </c>
      <c r="G1443" s="7">
        <v>47987</v>
      </c>
      <c r="H1443" s="1" t="s">
        <v>31</v>
      </c>
      <c r="I1443" s="1" t="str">
        <f>IF(G1443&lt;=$K$1,"Pagado","Pendiente")</f>
        <v>Pendiente</v>
      </c>
    </row>
    <row r="1444" spans="1:9" hidden="1">
      <c r="A1444" s="2">
        <v>23467</v>
      </c>
      <c r="B1444" s="2">
        <v>81</v>
      </c>
      <c r="C1444" s="8">
        <v>15618668.91</v>
      </c>
      <c r="G1444" s="7">
        <v>47987</v>
      </c>
      <c r="H1444" s="1" t="s">
        <v>31</v>
      </c>
      <c r="I1444" s="1" t="str">
        <f>IF(G1444&lt;=$K$1,"Pagado","Pendiente")</f>
        <v>Pendiente</v>
      </c>
    </row>
    <row r="1445" spans="1:9" hidden="1">
      <c r="A1445" s="2">
        <v>23996</v>
      </c>
      <c r="B1445" s="2">
        <v>71</v>
      </c>
      <c r="C1445" s="8">
        <v>6849033.8499999996</v>
      </c>
      <c r="D1445" s="8">
        <v>3707768.08</v>
      </c>
      <c r="E1445" s="8">
        <v>445302.95</v>
      </c>
      <c r="F1445" s="8">
        <f>+C1445+D1445+E1445</f>
        <v>11002104.879999999</v>
      </c>
      <c r="G1445" s="7">
        <v>48012</v>
      </c>
      <c r="H1445" s="1" t="s">
        <v>31</v>
      </c>
      <c r="I1445" s="1" t="str">
        <f>IF(G1445&lt;=$K$1,"Pagado","Pendiente")</f>
        <v>Pendiente</v>
      </c>
    </row>
    <row r="1446" spans="1:9" hidden="1">
      <c r="A1446" s="2">
        <v>23430</v>
      </c>
      <c r="B1446" s="2">
        <v>83</v>
      </c>
      <c r="C1446" s="8">
        <v>4301909.12</v>
      </c>
      <c r="D1446" s="8">
        <v>287515.13</v>
      </c>
      <c r="E1446" s="8">
        <v>34501.82</v>
      </c>
      <c r="F1446" s="8">
        <v>4623926.07</v>
      </c>
      <c r="G1446" s="7">
        <v>48018</v>
      </c>
      <c r="H1446" s="1" t="s">
        <v>31</v>
      </c>
      <c r="I1446" s="1" t="str">
        <f>IF(G1446&lt;=$K$1,"Pagado","Pendiente")</f>
        <v>Pendiente</v>
      </c>
    </row>
    <row r="1447" spans="1:9" hidden="1">
      <c r="A1447" s="2">
        <v>23467</v>
      </c>
      <c r="B1447" s="2">
        <v>82</v>
      </c>
      <c r="C1447" s="8">
        <v>16132159.390000001</v>
      </c>
      <c r="G1447" s="7">
        <v>48018</v>
      </c>
      <c r="H1447" s="1" t="s">
        <v>31</v>
      </c>
      <c r="I1447" s="1" t="str">
        <f>IF(G1447&lt;=$K$1,"Pagado","Pendiente")</f>
        <v>Pendiente</v>
      </c>
    </row>
    <row r="1448" spans="1:9" hidden="1">
      <c r="A1448" s="2">
        <v>23996</v>
      </c>
      <c r="B1448" s="2">
        <v>72</v>
      </c>
      <c r="C1448" s="8">
        <v>7064004.3799999999</v>
      </c>
      <c r="D1448" s="8">
        <v>3492797.55</v>
      </c>
      <c r="E1448" s="8">
        <v>419484.98</v>
      </c>
      <c r="F1448" s="8">
        <f>+C1448+D1448+E1448</f>
        <v>10976286.91</v>
      </c>
      <c r="G1448" s="7">
        <v>48042</v>
      </c>
      <c r="H1448" s="1" t="s">
        <v>31</v>
      </c>
      <c r="I1448" s="1" t="str">
        <f>IF(G1448&lt;=$K$1,"Pagado","Pendiente")</f>
        <v>Pendiente</v>
      </c>
    </row>
    <row r="1449" spans="1:9" hidden="1">
      <c r="A1449" s="2">
        <v>23430</v>
      </c>
      <c r="B1449" s="2">
        <v>84</v>
      </c>
      <c r="C1449" s="8">
        <v>4443342.99</v>
      </c>
      <c r="D1449" s="8">
        <v>146082.51</v>
      </c>
      <c r="E1449" s="8">
        <v>17529.900000000001</v>
      </c>
      <c r="F1449" s="8">
        <v>4606955.4000000004</v>
      </c>
      <c r="G1449" s="7">
        <v>48048</v>
      </c>
      <c r="H1449" s="1" t="s">
        <v>31</v>
      </c>
      <c r="I1449" s="1" t="str">
        <f>IF(G1449&lt;=$K$1,"Pagado","Pendiente")</f>
        <v>Pendiente</v>
      </c>
    </row>
    <row r="1450" spans="1:9" hidden="1">
      <c r="A1450" s="2">
        <v>23467</v>
      </c>
      <c r="B1450" s="2">
        <v>83</v>
      </c>
      <c r="C1450" s="8">
        <v>16662530.460000001</v>
      </c>
      <c r="G1450" s="7">
        <v>48048</v>
      </c>
      <c r="H1450" s="1" t="s">
        <v>31</v>
      </c>
      <c r="I1450" s="1" t="str">
        <f>IF(G1450&lt;=$K$1,"Pagado","Pendiente")</f>
        <v>Pendiente</v>
      </c>
    </row>
    <row r="1451" spans="1:9" hidden="1">
      <c r="A1451" s="2">
        <v>23996</v>
      </c>
      <c r="B1451" s="2">
        <v>73</v>
      </c>
      <c r="C1451" s="8">
        <v>7285722.1900000004</v>
      </c>
      <c r="D1451" s="8">
        <v>3271079.74</v>
      </c>
      <c r="E1451" s="8">
        <v>392856.68</v>
      </c>
      <c r="F1451" s="8">
        <f>+C1451+D1451+E1451</f>
        <v>10949658.609999999</v>
      </c>
      <c r="G1451" s="7">
        <v>48073</v>
      </c>
      <c r="H1451" s="1" t="s">
        <v>31</v>
      </c>
      <c r="I1451" s="1" t="str">
        <f>IF(G1451&lt;=$K$1,"Pagado","Pendiente")</f>
        <v>Pendiente</v>
      </c>
    </row>
    <row r="1452" spans="1:9" hidden="1">
      <c r="A1452" s="2">
        <v>23996</v>
      </c>
      <c r="B1452" s="2">
        <v>74</v>
      </c>
      <c r="C1452" s="8">
        <v>7514399.0499999998</v>
      </c>
      <c r="D1452" s="8">
        <v>3042402.88</v>
      </c>
      <c r="E1452" s="8">
        <v>365392.58</v>
      </c>
      <c r="F1452" s="8">
        <f>+C1452+D1452+E1452</f>
        <v>10922194.51</v>
      </c>
      <c r="G1452" s="7">
        <v>48104</v>
      </c>
      <c r="H1452" s="1" t="s">
        <v>31</v>
      </c>
      <c r="I1452" s="1" t="str">
        <f>IF(G1452&lt;=$K$1,"Pagado","Pendiente")</f>
        <v>Pendiente</v>
      </c>
    </row>
    <row r="1453" spans="1:9" hidden="1">
      <c r="A1453" s="2">
        <v>23996</v>
      </c>
      <c r="B1453" s="2">
        <v>75</v>
      </c>
      <c r="C1453" s="8">
        <v>7750253.3899999997</v>
      </c>
      <c r="D1453" s="8">
        <v>2806548.54</v>
      </c>
      <c r="E1453" s="8">
        <v>337066.48</v>
      </c>
      <c r="F1453" s="8">
        <f>+C1453+D1453+E1453</f>
        <v>10893868.41</v>
      </c>
      <c r="G1453" s="7">
        <v>48134</v>
      </c>
      <c r="H1453" s="1" t="s">
        <v>31</v>
      </c>
      <c r="I1453" s="1" t="str">
        <f>IF(G1453&lt;=$K$1,"Pagado","Pendiente")</f>
        <v>Pendiente</v>
      </c>
    </row>
    <row r="1454" spans="1:9" hidden="1">
      <c r="A1454" s="2">
        <v>23996</v>
      </c>
      <c r="B1454" s="2">
        <v>76</v>
      </c>
      <c r="C1454" s="8">
        <v>7993510.4800000004</v>
      </c>
      <c r="D1454" s="8">
        <v>2563291.4500000002</v>
      </c>
      <c r="E1454" s="8">
        <v>307851.3</v>
      </c>
      <c r="F1454" s="8">
        <f>+C1454+D1454+E1454</f>
        <v>10864653.23</v>
      </c>
      <c r="G1454" s="7">
        <v>48165</v>
      </c>
      <c r="H1454" s="1" t="s">
        <v>31</v>
      </c>
      <c r="I1454" s="1" t="str">
        <f>IF(G1454&lt;=$K$1,"Pagado","Pendiente")</f>
        <v>Pendiente</v>
      </c>
    </row>
    <row r="1455" spans="1:9" hidden="1">
      <c r="A1455" s="2">
        <v>23996</v>
      </c>
      <c r="B1455" s="2">
        <v>77</v>
      </c>
      <c r="C1455" s="8">
        <v>8244402.6799999997</v>
      </c>
      <c r="D1455" s="8">
        <v>2312399.25</v>
      </c>
      <c r="E1455" s="8">
        <v>277719.15000000002</v>
      </c>
      <c r="F1455" s="8">
        <f>+C1455+D1455+E1455</f>
        <v>10834521.08</v>
      </c>
      <c r="G1455" s="7">
        <v>48195</v>
      </c>
      <c r="H1455" s="1" t="s">
        <v>31</v>
      </c>
      <c r="I1455" s="1" t="str">
        <f>IF(G1455&lt;=$K$1,"Pagado","Pendiente")</f>
        <v>Pendiente</v>
      </c>
    </row>
    <row r="1456" spans="1:9" hidden="1">
      <c r="A1456" s="2">
        <v>23996</v>
      </c>
      <c r="B1456" s="2">
        <v>78</v>
      </c>
      <c r="C1456" s="8">
        <v>8503169.6400000006</v>
      </c>
      <c r="D1456" s="8">
        <v>2053632.29</v>
      </c>
      <c r="E1456" s="8">
        <v>246641.23</v>
      </c>
      <c r="F1456" s="8">
        <f>+C1456+D1456+E1456</f>
        <v>10803443.16</v>
      </c>
      <c r="G1456" s="7">
        <v>48226</v>
      </c>
      <c r="H1456" s="1" t="s">
        <v>31</v>
      </c>
      <c r="I1456" s="1" t="str">
        <f>IF(G1456&lt;=$K$1,"Pagado","Pendiente")</f>
        <v>Pendiente</v>
      </c>
    </row>
    <row r="1457" spans="1:9" hidden="1">
      <c r="A1457" s="2">
        <v>23996</v>
      </c>
      <c r="B1457" s="2">
        <v>79</v>
      </c>
      <c r="C1457" s="8">
        <v>8770058.5</v>
      </c>
      <c r="D1457" s="8">
        <v>1786743.43</v>
      </c>
      <c r="E1457" s="8">
        <v>214587.88</v>
      </c>
      <c r="F1457" s="8">
        <f>+C1457+D1457+E1457</f>
        <v>10771389.810000001</v>
      </c>
      <c r="G1457" s="7">
        <v>48257</v>
      </c>
      <c r="H1457" s="1" t="s">
        <v>31</v>
      </c>
      <c r="I1457" s="1" t="str">
        <f>IF(G1457&lt;=$K$1,"Pagado","Pendiente")</f>
        <v>Pendiente</v>
      </c>
    </row>
    <row r="1458" spans="1:9" hidden="1">
      <c r="A1458" s="2">
        <v>23996</v>
      </c>
      <c r="B1458" s="2">
        <v>80</v>
      </c>
      <c r="C1458" s="8">
        <v>9045324.1999999993</v>
      </c>
      <c r="D1458" s="8">
        <v>1511477.73</v>
      </c>
      <c r="E1458" s="8">
        <v>181528.48</v>
      </c>
      <c r="F1458" s="8">
        <f>+C1458+D1458+E1458</f>
        <v>10738330.41</v>
      </c>
      <c r="G1458" s="7">
        <v>48286</v>
      </c>
      <c r="H1458" s="1" t="s">
        <v>31</v>
      </c>
      <c r="I1458" s="1" t="str">
        <f>IF(G1458&lt;=$K$1,"Pagado","Pendiente")</f>
        <v>Pendiente</v>
      </c>
    </row>
    <row r="1459" spans="1:9" hidden="1">
      <c r="A1459" s="2">
        <v>23996</v>
      </c>
      <c r="B1459" s="2">
        <v>81</v>
      </c>
      <c r="C1459" s="8">
        <v>9329229.6699999999</v>
      </c>
      <c r="D1459" s="8">
        <v>1227572.26</v>
      </c>
      <c r="E1459" s="8">
        <v>147431.43</v>
      </c>
      <c r="F1459" s="8">
        <f>+C1459+D1459+E1459</f>
        <v>10704233.359999999</v>
      </c>
      <c r="G1459" s="7">
        <v>48317</v>
      </c>
      <c r="H1459" s="1" t="s">
        <v>31</v>
      </c>
      <c r="I1459" s="1" t="str">
        <f>IF(G1459&lt;=$K$1,"Pagado","Pendiente")</f>
        <v>Pendiente</v>
      </c>
    </row>
    <row r="1460" spans="1:9" hidden="1">
      <c r="A1460" s="2">
        <v>23996</v>
      </c>
      <c r="B1460" s="2">
        <v>82</v>
      </c>
      <c r="C1460" s="8">
        <v>9622046.0700000003</v>
      </c>
      <c r="D1460" s="8">
        <v>934755.86</v>
      </c>
      <c r="E1460" s="8">
        <v>112264.19</v>
      </c>
      <c r="F1460" s="8">
        <f>+C1460+D1460+E1460</f>
        <v>10669066.119999999</v>
      </c>
      <c r="G1460" s="7">
        <v>48347</v>
      </c>
      <c r="H1460" s="1" t="s">
        <v>31</v>
      </c>
      <c r="I1460" s="1" t="str">
        <f>IF(G1460&lt;=$K$1,"Pagado","Pendiente")</f>
        <v>Pendiente</v>
      </c>
    </row>
    <row r="1461" spans="1:9" hidden="1">
      <c r="A1461" s="2">
        <v>23996</v>
      </c>
      <c r="B1461" s="2">
        <v>83</v>
      </c>
      <c r="C1461" s="8">
        <v>9924053.0999999996</v>
      </c>
      <c r="D1461" s="8">
        <v>632748.82999999996</v>
      </c>
      <c r="E1461" s="8">
        <v>75993.13</v>
      </c>
      <c r="F1461" s="8">
        <f>+C1461+D1461+E1461</f>
        <v>10632795.060000001</v>
      </c>
      <c r="G1461" s="7">
        <v>48378</v>
      </c>
      <c r="H1461" s="1" t="s">
        <v>31</v>
      </c>
      <c r="I1461" s="1" t="str">
        <f>IF(G1461&lt;=$K$1,"Pagado","Pendiente")</f>
        <v>Pendiente</v>
      </c>
    </row>
    <row r="1462" spans="1:9" hidden="1">
      <c r="A1462" s="2">
        <v>23996</v>
      </c>
      <c r="B1462" s="2">
        <v>84</v>
      </c>
      <c r="C1462" s="8">
        <v>10235538.99</v>
      </c>
      <c r="D1462" s="8">
        <v>321262.71999999997</v>
      </c>
      <c r="E1462" s="8">
        <v>38583.660000000003</v>
      </c>
      <c r="F1462" s="8">
        <f>+C1462+D1462+E1462</f>
        <v>10595385.370000001</v>
      </c>
      <c r="G1462" s="7">
        <v>48408</v>
      </c>
      <c r="H1462" s="1" t="s">
        <v>31</v>
      </c>
      <c r="I1462" s="1" t="str">
        <f>IF(G1462&lt;=$K$1,"Pagado","Pendiente")</f>
        <v>Pendiente</v>
      </c>
    </row>
    <row r="1463" spans="1:9" hidden="1">
      <c r="A1463" s="2">
        <v>24132</v>
      </c>
      <c r="B1463" t="s">
        <v>47</v>
      </c>
      <c r="C1463" s="27">
        <v>0</v>
      </c>
      <c r="D1463" s="27">
        <v>4703424.66</v>
      </c>
      <c r="E1463" s="27">
        <v>564881.30000000005</v>
      </c>
      <c r="F1463" s="25">
        <v>5268305.96</v>
      </c>
      <c r="G1463" s="6">
        <v>45939</v>
      </c>
      <c r="H1463" s="1" t="s">
        <v>31</v>
      </c>
      <c r="I1463" s="1" t="str">
        <f>IF(G1463&lt;=$K$1,"Pagado","Pendiente")</f>
        <v>Pagado</v>
      </c>
    </row>
    <row r="1464" spans="1:9" hidden="1">
      <c r="A1464" s="2">
        <v>24132</v>
      </c>
      <c r="B1464">
        <v>2</v>
      </c>
      <c r="C1464" s="27">
        <v>0</v>
      </c>
      <c r="D1464" s="27">
        <v>7055136.9000000004</v>
      </c>
      <c r="E1464" s="27">
        <v>847321.93</v>
      </c>
      <c r="F1464" s="25">
        <v>7902458.8300000001</v>
      </c>
      <c r="G1464" s="6">
        <v>45970</v>
      </c>
      <c r="H1464" s="1" t="s">
        <v>31</v>
      </c>
      <c r="I1464" s="1" t="str">
        <f>IF(G1464&lt;=$K$1,"Pagado","Pendiente")</f>
        <v>Pagado</v>
      </c>
    </row>
    <row r="1465" spans="1:9" hidden="1">
      <c r="A1465" s="2">
        <v>20828</v>
      </c>
      <c r="B1465" s="2">
        <v>36</v>
      </c>
      <c r="C1465" s="8">
        <v>597519.29019111069</v>
      </c>
      <c r="D1465" s="8">
        <v>1186211.2354130622</v>
      </c>
      <c r="E1465" s="8">
        <f>+D1465*0.105</f>
        <v>124552.17971837152</v>
      </c>
      <c r="F1465" s="8">
        <f>+C1465+D1465+E1465</f>
        <v>1908282.7053225443</v>
      </c>
      <c r="G1465" s="7">
        <v>46003</v>
      </c>
      <c r="H1465" s="1" t="s">
        <v>31</v>
      </c>
      <c r="I1465" s="1" t="str">
        <f>IF(G1465&lt;=$K$1,"Pagado","Pendiente")</f>
        <v>Pagado</v>
      </c>
    </row>
    <row r="1466" spans="1:9" hidden="1">
      <c r="A1466" s="2">
        <v>24132</v>
      </c>
      <c r="B1466" t="s">
        <v>48</v>
      </c>
      <c r="C1466" s="27">
        <v>0</v>
      </c>
      <c r="D1466" s="27">
        <v>7055136.9000000004</v>
      </c>
      <c r="E1466" s="27">
        <v>847321.93</v>
      </c>
      <c r="F1466" s="25">
        <v>7902458.8300000001</v>
      </c>
      <c r="G1466" s="6">
        <v>46031</v>
      </c>
      <c r="H1466" s="1" t="s">
        <v>31</v>
      </c>
      <c r="I1466" s="1" t="str">
        <f>IF(G1466&lt;=$K$1,"Pagado","Pendiente")</f>
        <v>Pagado</v>
      </c>
    </row>
    <row r="1467" spans="1:9" hidden="1">
      <c r="A1467" s="2">
        <v>24132</v>
      </c>
      <c r="B1467" t="s">
        <v>49</v>
      </c>
      <c r="C1467" s="27">
        <v>0</v>
      </c>
      <c r="D1467" s="27">
        <v>7055136.9000000004</v>
      </c>
      <c r="E1467" s="27">
        <v>847321.93</v>
      </c>
      <c r="F1467" s="25">
        <v>7902458.8300000001</v>
      </c>
      <c r="G1467" s="6">
        <v>46062</v>
      </c>
      <c r="H1467" s="1" t="s">
        <v>31</v>
      </c>
      <c r="I1467" s="1" t="str">
        <f>IF(G1467&lt;=$K$1,"Pagado","Pendiente")</f>
        <v>Pagado</v>
      </c>
    </row>
    <row r="1468" spans="1:9" hidden="1">
      <c r="A1468" s="2">
        <v>24132</v>
      </c>
      <c r="B1468" t="s">
        <v>50</v>
      </c>
      <c r="C1468" s="27">
        <v>0</v>
      </c>
      <c r="D1468" s="27">
        <v>7055136.9000000004</v>
      </c>
      <c r="E1468" s="27">
        <v>847321.93</v>
      </c>
      <c r="F1468" s="25">
        <v>7902458.8300000001</v>
      </c>
      <c r="G1468" s="6">
        <v>46090</v>
      </c>
      <c r="H1468" s="1" t="s">
        <v>31</v>
      </c>
      <c r="I1468" s="1" t="str">
        <f>IF(G1468&lt;=$K$1,"Pagado","Pendiente")</f>
        <v>Pagado</v>
      </c>
    </row>
    <row r="1469" spans="1:9" hidden="1">
      <c r="A1469" s="2">
        <v>24132</v>
      </c>
      <c r="B1469" t="s">
        <v>51</v>
      </c>
      <c r="C1469" s="27">
        <v>0</v>
      </c>
      <c r="D1469" s="27">
        <v>7055136.9000000004</v>
      </c>
      <c r="E1469" s="27">
        <v>847321.93</v>
      </c>
      <c r="F1469" s="25">
        <v>7902458.8300000001</v>
      </c>
      <c r="G1469" s="6">
        <v>46121</v>
      </c>
      <c r="H1469" s="1" t="s">
        <v>31</v>
      </c>
      <c r="I1469" s="1" t="str">
        <f>IF(G1469&lt;=$K$1,"Pagado","Pendiente")</f>
        <v>Pagado</v>
      </c>
    </row>
    <row r="1470" spans="1:9">
      <c r="A1470" s="2">
        <v>863502600</v>
      </c>
      <c r="B1470" s="2">
        <v>17</v>
      </c>
      <c r="C1470" s="8">
        <v>1535637.41</v>
      </c>
      <c r="D1470" s="8">
        <v>3647942.19</v>
      </c>
      <c r="E1470" s="8">
        <v>437753.06</v>
      </c>
      <c r="F1470" s="8">
        <v>5621332.6600000001</v>
      </c>
      <c r="G1470" s="7">
        <v>46159</v>
      </c>
      <c r="H1470" s="1" t="s">
        <v>24</v>
      </c>
      <c r="I1470" s="1" t="str">
        <f>IF(G1470&lt;=$K$1,"Pagado","Pendiente")</f>
        <v>Pendiente</v>
      </c>
    </row>
    <row r="1471" spans="1:9" hidden="1">
      <c r="A1471" s="2">
        <v>24132</v>
      </c>
      <c r="B1471" t="s">
        <v>53</v>
      </c>
      <c r="C1471" s="27">
        <v>0</v>
      </c>
      <c r="D1471" s="27">
        <v>7055136.9000000004</v>
      </c>
      <c r="E1471" s="27">
        <v>847321.93</v>
      </c>
      <c r="F1471" s="25">
        <v>7902458.8300000001</v>
      </c>
      <c r="G1471" s="6">
        <v>46182</v>
      </c>
      <c r="H1471" s="1" t="s">
        <v>31</v>
      </c>
      <c r="I1471" s="1" t="str">
        <f>IF(G1471&lt;=$K$1,"Pagado","Pendiente")</f>
        <v>Pendiente</v>
      </c>
    </row>
    <row r="1472" spans="1:9" hidden="1">
      <c r="A1472" s="2">
        <v>24132</v>
      </c>
      <c r="B1472" t="s">
        <v>54</v>
      </c>
      <c r="C1472" s="27">
        <v>0</v>
      </c>
      <c r="D1472" s="27">
        <v>7055136.9000000004</v>
      </c>
      <c r="E1472" s="27">
        <v>847321.93</v>
      </c>
      <c r="F1472" s="25">
        <v>7902458.8300000001</v>
      </c>
      <c r="G1472" s="6">
        <v>46212</v>
      </c>
      <c r="H1472" s="1" t="s">
        <v>31</v>
      </c>
      <c r="I1472" s="1" t="str">
        <f>IF(G1472&lt;=$K$1,"Pagado","Pendiente")</f>
        <v>Pendiente</v>
      </c>
    </row>
    <row r="1473" spans="1:9" hidden="1">
      <c r="A1473" s="2">
        <v>24132</v>
      </c>
      <c r="B1473" t="s">
        <v>55</v>
      </c>
      <c r="C1473" s="27">
        <v>0</v>
      </c>
      <c r="D1473" s="27">
        <v>7055136.9000000004</v>
      </c>
      <c r="E1473" s="27">
        <v>847321.93</v>
      </c>
      <c r="F1473" s="25">
        <v>7902458.8300000001</v>
      </c>
      <c r="G1473" s="6">
        <v>46243</v>
      </c>
      <c r="H1473" s="1" t="s">
        <v>31</v>
      </c>
      <c r="I1473" s="1" t="str">
        <f>IF(G1473&lt;=$K$1,"Pagado","Pendiente")</f>
        <v>Pendiente</v>
      </c>
    </row>
    <row r="1474" spans="1:9" hidden="1">
      <c r="A1474" s="2">
        <v>24132</v>
      </c>
      <c r="B1474" t="s">
        <v>56</v>
      </c>
      <c r="C1474" s="27">
        <v>0</v>
      </c>
      <c r="D1474" s="27">
        <v>7055136.9000000004</v>
      </c>
      <c r="E1474" s="27">
        <v>847321.93</v>
      </c>
      <c r="F1474" s="25">
        <v>7902458.8300000001</v>
      </c>
      <c r="G1474" s="6">
        <v>46274</v>
      </c>
      <c r="H1474" s="1" t="s">
        <v>31</v>
      </c>
      <c r="I1474" s="1" t="str">
        <f>IF(G1474&lt;=$K$1,"Pagado","Pendiente")</f>
        <v>Pendiente</v>
      </c>
    </row>
    <row r="1475" spans="1:9" hidden="1">
      <c r="A1475" s="2">
        <v>24132</v>
      </c>
      <c r="B1475" t="s">
        <v>57</v>
      </c>
      <c r="C1475" s="27">
        <v>472573.36</v>
      </c>
      <c r="D1475" s="27">
        <v>7055136.9000000004</v>
      </c>
      <c r="E1475" s="27">
        <v>847321.93</v>
      </c>
      <c r="F1475" s="25">
        <v>8375032.1900000004</v>
      </c>
      <c r="G1475" s="6">
        <v>46304</v>
      </c>
      <c r="H1475" s="1" t="s">
        <v>31</v>
      </c>
      <c r="I1475" s="1" t="str">
        <f>IF(G1475&lt;=$K$1,"Pagado","Pendiente")</f>
        <v>Pendiente</v>
      </c>
    </row>
    <row r="1476" spans="1:9" hidden="1">
      <c r="A1476" s="2">
        <v>24132</v>
      </c>
      <c r="B1476" t="s">
        <v>58</v>
      </c>
      <c r="C1476" s="27">
        <v>491095.97</v>
      </c>
      <c r="D1476" s="27">
        <v>7036614.29</v>
      </c>
      <c r="E1476" s="27">
        <v>845097.37</v>
      </c>
      <c r="F1476" s="25">
        <v>8372807.6299999999</v>
      </c>
      <c r="G1476" s="6">
        <v>46335</v>
      </c>
      <c r="H1476" s="1" t="s">
        <v>31</v>
      </c>
      <c r="I1476" s="1" t="str">
        <f>IF(G1476&lt;=$K$1,"Pagado","Pendiente")</f>
        <v>Pendiente</v>
      </c>
    </row>
    <row r="1477" spans="1:9" hidden="1">
      <c r="A1477" s="2">
        <v>24132</v>
      </c>
      <c r="B1477" t="s">
        <v>59</v>
      </c>
      <c r="C1477" s="27">
        <v>510344.58</v>
      </c>
      <c r="D1477" s="27">
        <v>7017365.6799999997</v>
      </c>
      <c r="E1477" s="27">
        <v>842785.63</v>
      </c>
      <c r="F1477" s="25">
        <v>8370495.8899999997</v>
      </c>
      <c r="G1477" s="6">
        <v>46365</v>
      </c>
      <c r="H1477" s="1" t="s">
        <v>31</v>
      </c>
      <c r="I1477" s="1" t="str">
        <f>IF(G1477&lt;=$K$1,"Pagado","Pendiente")</f>
        <v>Pendiente</v>
      </c>
    </row>
    <row r="1478" spans="1:9" hidden="1">
      <c r="A1478" s="2">
        <v>24132</v>
      </c>
      <c r="B1478" t="s">
        <v>60</v>
      </c>
      <c r="C1478" s="27">
        <v>530347.64</v>
      </c>
      <c r="D1478" s="27">
        <v>6997362.6200000001</v>
      </c>
      <c r="E1478" s="27">
        <v>840383.26</v>
      </c>
      <c r="F1478" s="25">
        <v>8368093.5199999996</v>
      </c>
      <c r="G1478" s="6">
        <v>46396</v>
      </c>
      <c r="H1478" s="1" t="s">
        <v>31</v>
      </c>
      <c r="I1478" s="1" t="str">
        <f>IF(G1478&lt;=$K$1,"Pagado","Pendiente")</f>
        <v>Pendiente</v>
      </c>
    </row>
    <row r="1479" spans="1:9" hidden="1">
      <c r="A1479" s="2">
        <v>24132</v>
      </c>
      <c r="B1479" t="s">
        <v>61</v>
      </c>
      <c r="C1479" s="27">
        <v>551134.71999999997</v>
      </c>
      <c r="D1479" s="27">
        <v>6976575.54</v>
      </c>
      <c r="E1479" s="27">
        <v>837886.72</v>
      </c>
      <c r="F1479" s="25">
        <v>8365596.9799999995</v>
      </c>
      <c r="G1479" s="6">
        <v>46427</v>
      </c>
      <c r="H1479" s="1" t="s">
        <v>31</v>
      </c>
      <c r="I1479" s="1" t="str">
        <f>IF(G1479&lt;=$K$1,"Pagado","Pendiente")</f>
        <v>Pendiente</v>
      </c>
    </row>
    <row r="1480" spans="1:9" hidden="1">
      <c r="A1480" s="2">
        <v>24132</v>
      </c>
      <c r="B1480" t="s">
        <v>62</v>
      </c>
      <c r="C1480" s="27">
        <v>572736.56000000006</v>
      </c>
      <c r="D1480" s="27">
        <v>6954973.7000000002</v>
      </c>
      <c r="E1480" s="27">
        <v>835292.35</v>
      </c>
      <c r="F1480" s="25">
        <v>8363002.6099999994</v>
      </c>
      <c r="G1480" s="6">
        <v>46455</v>
      </c>
      <c r="H1480" s="1" t="s">
        <v>31</v>
      </c>
      <c r="I1480" s="1" t="str">
        <f>IF(G1480&lt;=$K$1,"Pagado","Pendiente")</f>
        <v>Pendiente</v>
      </c>
    </row>
    <row r="1481" spans="1:9" hidden="1">
      <c r="A1481" s="2">
        <v>24132</v>
      </c>
      <c r="B1481" t="s">
        <v>63</v>
      </c>
      <c r="C1481" s="27">
        <v>595185.09</v>
      </c>
      <c r="D1481" s="27">
        <v>6932525.1699999999</v>
      </c>
      <c r="E1481" s="27">
        <v>832596.27</v>
      </c>
      <c r="F1481" s="25">
        <v>8360306.5299999993</v>
      </c>
      <c r="G1481" s="6">
        <v>46486</v>
      </c>
      <c r="H1481" s="1" t="s">
        <v>31</v>
      </c>
      <c r="I1481" s="1" t="str">
        <f>IF(G1481&lt;=$K$1,"Pagado","Pendiente")</f>
        <v>Pendiente</v>
      </c>
    </row>
    <row r="1482" spans="1:9" hidden="1">
      <c r="A1482" s="2">
        <v>24132</v>
      </c>
      <c r="B1482" t="s">
        <v>64</v>
      </c>
      <c r="C1482" s="27">
        <v>618513.49</v>
      </c>
      <c r="D1482" s="27">
        <v>6909196.7699999996</v>
      </c>
      <c r="E1482" s="27">
        <v>829794.53</v>
      </c>
      <c r="F1482" s="25">
        <v>8357504.79</v>
      </c>
      <c r="G1482" s="6">
        <v>46516</v>
      </c>
      <c r="H1482" s="1" t="s">
        <v>31</v>
      </c>
      <c r="I1482" s="1" t="str">
        <f>IF(G1482&lt;=$K$1,"Pagado","Pendiente")</f>
        <v>Pendiente</v>
      </c>
    </row>
    <row r="1483" spans="1:9" hidden="1">
      <c r="A1483" s="2">
        <v>24132</v>
      </c>
      <c r="B1483" t="s">
        <v>65</v>
      </c>
      <c r="C1483" s="27">
        <v>642756.25</v>
      </c>
      <c r="D1483" s="27">
        <v>6884954.0099999998</v>
      </c>
      <c r="E1483" s="27">
        <v>826882.98</v>
      </c>
      <c r="F1483" s="25">
        <v>8354593.2400000002</v>
      </c>
      <c r="G1483" s="6">
        <v>46547</v>
      </c>
      <c r="H1483" s="1" t="s">
        <v>31</v>
      </c>
      <c r="I1483" s="1" t="str">
        <f>IF(G1483&lt;=$K$1,"Pagado","Pendiente")</f>
        <v>Pendiente</v>
      </c>
    </row>
    <row r="1484" spans="1:9" hidden="1">
      <c r="A1484" s="2">
        <v>24132</v>
      </c>
      <c r="B1484" t="s">
        <v>66</v>
      </c>
      <c r="C1484" s="27">
        <v>667949.21</v>
      </c>
      <c r="D1484" s="27">
        <v>6859761.0499999998</v>
      </c>
      <c r="E1484" s="27">
        <v>823857.31</v>
      </c>
      <c r="F1484" s="25">
        <v>8351567.5700000003</v>
      </c>
      <c r="G1484" s="6">
        <v>46577</v>
      </c>
      <c r="H1484" s="1" t="s">
        <v>31</v>
      </c>
      <c r="I1484" s="1" t="str">
        <f>IF(G1484&lt;=$K$1,"Pagado","Pendiente")</f>
        <v>Pendiente</v>
      </c>
    </row>
    <row r="1485" spans="1:9" hidden="1">
      <c r="A1485" s="2">
        <v>24132</v>
      </c>
      <c r="B1485" t="s">
        <v>67</v>
      </c>
      <c r="C1485" s="27">
        <v>694129.62</v>
      </c>
      <c r="D1485" s="27">
        <v>6833580.6399999997</v>
      </c>
      <c r="E1485" s="27">
        <v>820713.04</v>
      </c>
      <c r="F1485" s="25">
        <v>8348423.2999999998</v>
      </c>
      <c r="G1485" s="6">
        <v>46608</v>
      </c>
      <c r="H1485" s="1" t="s">
        <v>31</v>
      </c>
      <c r="I1485" s="1" t="str">
        <f>IF(G1485&lt;=$K$1,"Pagado","Pendiente")</f>
        <v>Pendiente</v>
      </c>
    </row>
    <row r="1486" spans="1:9" hidden="1">
      <c r="A1486" s="2">
        <v>24132</v>
      </c>
      <c r="B1486" t="s">
        <v>68</v>
      </c>
      <c r="C1486" s="27">
        <v>721336.17</v>
      </c>
      <c r="D1486" s="27">
        <v>6806374.0899999999</v>
      </c>
      <c r="E1486" s="27">
        <v>817445.53</v>
      </c>
      <c r="F1486" s="25">
        <v>8345155.79</v>
      </c>
      <c r="G1486" s="6">
        <v>46639</v>
      </c>
      <c r="H1486" s="1" t="s">
        <v>31</v>
      </c>
      <c r="I1486" s="1" t="str">
        <f>IF(G1486&lt;=$K$1,"Pagado","Pendiente")</f>
        <v>Pendiente</v>
      </c>
    </row>
    <row r="1487" spans="1:9" hidden="1">
      <c r="A1487" s="2">
        <v>24132</v>
      </c>
      <c r="B1487" t="s">
        <v>69</v>
      </c>
      <c r="C1487" s="27">
        <v>749609.09</v>
      </c>
      <c r="D1487" s="27">
        <v>6778101.1699999999</v>
      </c>
      <c r="E1487" s="27">
        <v>814049.95</v>
      </c>
      <c r="F1487" s="25">
        <v>8341760.21</v>
      </c>
      <c r="G1487" s="6">
        <v>46669</v>
      </c>
      <c r="H1487" s="1" t="s">
        <v>31</v>
      </c>
      <c r="I1487" s="1" t="str">
        <f>IF(G1487&lt;=$K$1,"Pagado","Pendiente")</f>
        <v>Pendiente</v>
      </c>
    </row>
    <row r="1488" spans="1:9" hidden="1">
      <c r="A1488" s="2">
        <v>24132</v>
      </c>
      <c r="B1488" t="s">
        <v>70</v>
      </c>
      <c r="C1488" s="27">
        <v>778990.17</v>
      </c>
      <c r="D1488" s="27">
        <v>6748720.0899999999</v>
      </c>
      <c r="E1488" s="27">
        <v>810521.28</v>
      </c>
      <c r="F1488" s="25">
        <v>8338231.54</v>
      </c>
      <c r="G1488" s="6">
        <v>46700</v>
      </c>
      <c r="H1488" s="1" t="s">
        <v>31</v>
      </c>
      <c r="I1488" s="1" t="str">
        <f>IF(G1488&lt;=$K$1,"Pagado","Pendiente")</f>
        <v>Pendiente</v>
      </c>
    </row>
    <row r="1489" spans="1:9" hidden="1">
      <c r="A1489" s="2">
        <v>24132</v>
      </c>
      <c r="B1489" t="s">
        <v>71</v>
      </c>
      <c r="C1489" s="27">
        <v>809522.85</v>
      </c>
      <c r="D1489" s="27">
        <v>6718187.4100000001</v>
      </c>
      <c r="E1489" s="27">
        <v>806854.31</v>
      </c>
      <c r="F1489" s="25">
        <v>8334564.5700000003</v>
      </c>
      <c r="G1489" s="6">
        <v>46730</v>
      </c>
      <c r="H1489" s="1" t="s">
        <v>31</v>
      </c>
      <c r="I1489" s="1" t="str">
        <f>IF(G1489&lt;=$K$1,"Pagado","Pendiente")</f>
        <v>Pendiente</v>
      </c>
    </row>
    <row r="1490" spans="1:9" hidden="1">
      <c r="A1490" s="2">
        <v>24132</v>
      </c>
      <c r="B1490" t="s">
        <v>72</v>
      </c>
      <c r="C1490" s="27">
        <v>841252.27</v>
      </c>
      <c r="D1490" s="27">
        <v>6686457.9900000002</v>
      </c>
      <c r="E1490" s="27">
        <v>803043.61</v>
      </c>
      <c r="F1490" s="25">
        <v>8330753.8700000001</v>
      </c>
      <c r="G1490" s="6">
        <v>46761</v>
      </c>
      <c r="H1490" s="1" t="s">
        <v>31</v>
      </c>
      <c r="I1490" s="1" t="str">
        <f>IF(G1490&lt;=$K$1,"Pagado","Pendiente")</f>
        <v>Pendiente</v>
      </c>
    </row>
    <row r="1491" spans="1:9" hidden="1">
      <c r="A1491" s="2">
        <v>24132</v>
      </c>
      <c r="B1491" t="s">
        <v>73</v>
      </c>
      <c r="C1491" s="27">
        <v>874225.32</v>
      </c>
      <c r="D1491" s="27">
        <v>6653484.9400000004</v>
      </c>
      <c r="E1491" s="27">
        <v>799083.54</v>
      </c>
      <c r="F1491" s="25">
        <v>8326793.8000000007</v>
      </c>
      <c r="G1491" s="6">
        <v>46792</v>
      </c>
      <c r="H1491" s="1" t="s">
        <v>31</v>
      </c>
      <c r="I1491" s="1" t="str">
        <f>IF(G1491&lt;=$K$1,"Pagado","Pendiente")</f>
        <v>Pendiente</v>
      </c>
    </row>
    <row r="1492" spans="1:9" hidden="1">
      <c r="A1492" s="2">
        <v>24132</v>
      </c>
      <c r="B1492" t="s">
        <v>74</v>
      </c>
      <c r="C1492" s="27">
        <v>908490.76</v>
      </c>
      <c r="D1492" s="27">
        <v>6619219.5</v>
      </c>
      <c r="E1492" s="27">
        <v>794968.26</v>
      </c>
      <c r="F1492" s="25">
        <v>8322678.5199999996</v>
      </c>
      <c r="G1492" s="6">
        <v>46821</v>
      </c>
      <c r="H1492" s="1" t="s">
        <v>31</v>
      </c>
      <c r="I1492" s="1" t="str">
        <f>IF(G1492&lt;=$K$1,"Pagado","Pendiente")</f>
        <v>Pendiente</v>
      </c>
    </row>
    <row r="1493" spans="1:9" hidden="1">
      <c r="A1493" s="2">
        <v>24132</v>
      </c>
      <c r="B1493" t="s">
        <v>75</v>
      </c>
      <c r="C1493" s="27">
        <v>944099.25</v>
      </c>
      <c r="D1493" s="27">
        <v>6583611.0099999998</v>
      </c>
      <c r="E1493" s="27">
        <v>790691.69</v>
      </c>
      <c r="F1493" s="25">
        <v>8318401.9499999993</v>
      </c>
      <c r="G1493" s="6">
        <v>46852</v>
      </c>
      <c r="H1493" s="1" t="s">
        <v>31</v>
      </c>
      <c r="I1493" s="1" t="str">
        <f>IF(G1493&lt;=$K$1,"Pagado","Pendiente")</f>
        <v>Pendiente</v>
      </c>
    </row>
    <row r="1494" spans="1:9" hidden="1">
      <c r="A1494" s="2">
        <v>24132</v>
      </c>
      <c r="B1494" t="s">
        <v>76</v>
      </c>
      <c r="C1494" s="27">
        <v>981103.41</v>
      </c>
      <c r="D1494" s="27">
        <v>6546606.8499999996</v>
      </c>
      <c r="E1494" s="27">
        <v>786247.48</v>
      </c>
      <c r="F1494" s="25">
        <v>8313957.7400000002</v>
      </c>
      <c r="G1494" s="6">
        <v>46882</v>
      </c>
      <c r="H1494" s="1" t="s">
        <v>31</v>
      </c>
      <c r="I1494" s="1" t="str">
        <f>IF(G1494&lt;=$K$1,"Pagado","Pendiente")</f>
        <v>Pendiente</v>
      </c>
    </row>
    <row r="1495" spans="1:9" hidden="1">
      <c r="A1495" s="2">
        <v>24132</v>
      </c>
      <c r="B1495" t="s">
        <v>77</v>
      </c>
      <c r="C1495" s="27">
        <v>1019557.96</v>
      </c>
      <c r="D1495" s="27">
        <v>6508152.2999999998</v>
      </c>
      <c r="E1495" s="27">
        <v>781629.09</v>
      </c>
      <c r="F1495" s="25">
        <v>8309339.3499999996</v>
      </c>
      <c r="G1495" s="6">
        <v>46913</v>
      </c>
      <c r="H1495" s="1" t="s">
        <v>31</v>
      </c>
      <c r="I1495" s="1" t="str">
        <f>IF(G1495&lt;=$K$1,"Pagado","Pendiente")</f>
        <v>Pendiente</v>
      </c>
    </row>
    <row r="1496" spans="1:9" hidden="1">
      <c r="A1496" s="2">
        <v>24132</v>
      </c>
      <c r="B1496" t="s">
        <v>78</v>
      </c>
      <c r="C1496" s="27">
        <v>1059519.74</v>
      </c>
      <c r="D1496" s="27">
        <v>6468190.5199999996</v>
      </c>
      <c r="E1496" s="27">
        <v>776829.68</v>
      </c>
      <c r="F1496" s="25">
        <v>8304539.9399999995</v>
      </c>
      <c r="G1496" s="6">
        <v>46943</v>
      </c>
      <c r="H1496" s="1" t="s">
        <v>31</v>
      </c>
      <c r="I1496" s="1" t="str">
        <f>IF(G1496&lt;=$K$1,"Pagado","Pendiente")</f>
        <v>Pendiente</v>
      </c>
    </row>
    <row r="1497" spans="1:9" hidden="1">
      <c r="A1497" s="2">
        <v>24132</v>
      </c>
      <c r="B1497" t="s">
        <v>79</v>
      </c>
      <c r="C1497" s="27">
        <v>1101047.8400000001</v>
      </c>
      <c r="D1497" s="27">
        <v>6426662.4199999999</v>
      </c>
      <c r="E1497" s="27">
        <v>771842.16</v>
      </c>
      <c r="F1497" s="25">
        <v>8299552.4199999999</v>
      </c>
      <c r="G1497" s="6">
        <v>46974</v>
      </c>
      <c r="H1497" s="1" t="s">
        <v>31</v>
      </c>
      <c r="I1497" s="1" t="str">
        <f>IF(G1497&lt;=$K$1,"Pagado","Pendiente")</f>
        <v>Pendiente</v>
      </c>
    </row>
    <row r="1498" spans="1:9" hidden="1">
      <c r="A1498" s="2">
        <v>24132</v>
      </c>
      <c r="B1498" t="s">
        <v>80</v>
      </c>
      <c r="C1498" s="27">
        <v>1144203.6299999999</v>
      </c>
      <c r="D1498" s="27">
        <v>6383506.6299999999</v>
      </c>
      <c r="E1498" s="27">
        <v>766659.15</v>
      </c>
      <c r="F1498" s="25">
        <v>8294369.4100000001</v>
      </c>
      <c r="G1498" s="6">
        <v>47005</v>
      </c>
      <c r="H1498" s="1" t="s">
        <v>31</v>
      </c>
      <c r="I1498" s="1" t="str">
        <f>IF(G1498&lt;=$K$1,"Pagado","Pendiente")</f>
        <v>Pendiente</v>
      </c>
    </row>
    <row r="1499" spans="1:9" hidden="1">
      <c r="A1499" s="2">
        <v>24132</v>
      </c>
      <c r="B1499" t="s">
        <v>81</v>
      </c>
      <c r="C1499" s="27">
        <v>1189050.93</v>
      </c>
      <c r="D1499" s="27">
        <v>6338659.3300000001</v>
      </c>
      <c r="E1499" s="27">
        <v>761272.99</v>
      </c>
      <c r="F1499" s="25">
        <v>8288983.25</v>
      </c>
      <c r="G1499" s="6">
        <v>47035</v>
      </c>
      <c r="H1499" s="1" t="s">
        <v>31</v>
      </c>
      <c r="I1499" s="1" t="str">
        <f>IF(G1499&lt;=$K$1,"Pagado","Pendiente")</f>
        <v>Pendiente</v>
      </c>
    </row>
    <row r="1500" spans="1:9" hidden="1">
      <c r="A1500" s="2">
        <v>24132</v>
      </c>
      <c r="B1500" t="s">
        <v>82</v>
      </c>
      <c r="C1500" s="27">
        <v>1235656.02</v>
      </c>
      <c r="D1500" s="27">
        <v>6292054.2400000002</v>
      </c>
      <c r="E1500" s="27">
        <v>755675.72</v>
      </c>
      <c r="F1500" s="25">
        <v>8283385.9799999995</v>
      </c>
      <c r="G1500" s="6">
        <v>47066</v>
      </c>
      <c r="H1500" s="1" t="s">
        <v>31</v>
      </c>
      <c r="I1500" s="1" t="str">
        <f>IF(G1500&lt;=$K$1,"Pagado","Pendiente")</f>
        <v>Pendiente</v>
      </c>
    </row>
    <row r="1501" spans="1:9" hidden="1">
      <c r="A1501" s="2">
        <v>24132</v>
      </c>
      <c r="B1501" t="s">
        <v>83</v>
      </c>
      <c r="C1501" s="27">
        <v>1284087.81</v>
      </c>
      <c r="D1501" s="27">
        <v>6243622.4500000002</v>
      </c>
      <c r="E1501" s="27">
        <v>749859.06</v>
      </c>
      <c r="F1501" s="25">
        <v>8277569.3200000003</v>
      </c>
      <c r="G1501" s="6">
        <v>47096</v>
      </c>
      <c r="H1501" s="1" t="s">
        <v>31</v>
      </c>
      <c r="I1501" s="1" t="str">
        <f>IF(G1501&lt;=$K$1,"Pagado","Pendiente")</f>
        <v>Pendiente</v>
      </c>
    </row>
    <row r="1502" spans="1:9" hidden="1">
      <c r="A1502" s="2">
        <v>24132</v>
      </c>
      <c r="B1502" t="s">
        <v>84</v>
      </c>
      <c r="C1502" s="27">
        <v>1334417.8999999999</v>
      </c>
      <c r="D1502" s="27">
        <v>6193292.3600000003</v>
      </c>
      <c r="E1502" s="27">
        <v>743814.42</v>
      </c>
      <c r="F1502" s="25">
        <v>8271524.6799999997</v>
      </c>
      <c r="G1502" s="6">
        <v>47127</v>
      </c>
      <c r="H1502" s="1" t="s">
        <v>31</v>
      </c>
      <c r="I1502" s="1" t="str">
        <f>IF(G1502&lt;=$K$1,"Pagado","Pendiente")</f>
        <v>Pendiente</v>
      </c>
    </row>
    <row r="1503" spans="1:9" hidden="1">
      <c r="A1503" s="2">
        <v>24132</v>
      </c>
      <c r="B1503" t="s">
        <v>85</v>
      </c>
      <c r="C1503" s="27">
        <v>1386720.68</v>
      </c>
      <c r="D1503" s="27">
        <v>6140989.5800000001</v>
      </c>
      <c r="E1503" s="27">
        <v>737532.85</v>
      </c>
      <c r="F1503" s="25">
        <v>8265243.1099999994</v>
      </c>
      <c r="G1503" s="6">
        <v>47158</v>
      </c>
      <c r="H1503" s="1" t="s">
        <v>31</v>
      </c>
      <c r="I1503" s="1" t="str">
        <f>IF(G1503&lt;=$K$1,"Pagado","Pendiente")</f>
        <v>Pendiente</v>
      </c>
    </row>
    <row r="1504" spans="1:9" hidden="1">
      <c r="A1504" s="2">
        <v>24132</v>
      </c>
      <c r="B1504" t="s">
        <v>86</v>
      </c>
      <c r="C1504" s="27">
        <v>1441073.48</v>
      </c>
      <c r="D1504" s="27">
        <v>6086636.7800000003</v>
      </c>
      <c r="E1504" s="27">
        <v>731005.07</v>
      </c>
      <c r="F1504" s="25">
        <v>8258715.3300000001</v>
      </c>
      <c r="G1504" s="6">
        <v>47186</v>
      </c>
      <c r="H1504" s="1" t="s">
        <v>31</v>
      </c>
      <c r="I1504" s="1" t="str">
        <f>IF(G1504&lt;=$K$1,"Pagado","Pendiente")</f>
        <v>Pendiente</v>
      </c>
    </row>
    <row r="1505" spans="1:9" hidden="1">
      <c r="A1505" s="2">
        <v>24132</v>
      </c>
      <c r="B1505" t="s">
        <v>87</v>
      </c>
      <c r="C1505" s="27">
        <v>1497556.65</v>
      </c>
      <c r="D1505" s="27">
        <v>6030153.6100000003</v>
      </c>
      <c r="E1505" s="27">
        <v>724221.45</v>
      </c>
      <c r="F1505" s="25">
        <v>8251931.71</v>
      </c>
      <c r="G1505" s="6">
        <v>47217</v>
      </c>
      <c r="H1505" s="1" t="s">
        <v>31</v>
      </c>
      <c r="I1505" s="1" t="str">
        <f>IF(G1505&lt;=$K$1,"Pagado","Pendiente")</f>
        <v>Pendiente</v>
      </c>
    </row>
    <row r="1506" spans="1:9" hidden="1">
      <c r="A1506" s="2">
        <v>24132</v>
      </c>
      <c r="B1506" t="s">
        <v>88</v>
      </c>
      <c r="C1506" s="27">
        <v>1556253.69</v>
      </c>
      <c r="D1506" s="27">
        <v>5971456.5700000003</v>
      </c>
      <c r="E1506" s="27">
        <v>717171.94</v>
      </c>
      <c r="F1506" s="25">
        <v>8244882.1999999993</v>
      </c>
      <c r="G1506" s="6">
        <v>47247</v>
      </c>
      <c r="H1506" s="1" t="s">
        <v>31</v>
      </c>
      <c r="I1506" s="1" t="str">
        <f>IF(G1506&lt;=$K$1,"Pagado","Pendiente")</f>
        <v>Pendiente</v>
      </c>
    </row>
    <row r="1507" spans="1:9" hidden="1">
      <c r="A1507" s="2">
        <v>24132</v>
      </c>
      <c r="B1507" t="s">
        <v>89</v>
      </c>
      <c r="C1507" s="27">
        <v>1617251.37</v>
      </c>
      <c r="D1507" s="27">
        <v>5910458.8899999997</v>
      </c>
      <c r="E1507" s="27">
        <v>709846.11</v>
      </c>
      <c r="F1507" s="25">
        <v>8237556.3700000001</v>
      </c>
      <c r="G1507" s="6">
        <v>47278</v>
      </c>
      <c r="H1507" s="1" t="s">
        <v>31</v>
      </c>
      <c r="I1507" s="1" t="str">
        <f>IF(G1507&lt;=$K$1,"Pagado","Pendiente")</f>
        <v>Pendiente</v>
      </c>
    </row>
    <row r="1508" spans="1:9" hidden="1">
      <c r="A1508" s="2">
        <v>24132</v>
      </c>
      <c r="B1508" t="s">
        <v>90</v>
      </c>
      <c r="C1508" s="27">
        <v>1680639.87</v>
      </c>
      <c r="D1508" s="27">
        <v>5847070.3899999997</v>
      </c>
      <c r="E1508" s="27">
        <v>702233.16</v>
      </c>
      <c r="F1508" s="25">
        <v>8229943.4199999999</v>
      </c>
      <c r="G1508" s="6">
        <v>47308</v>
      </c>
      <c r="H1508" s="1" t="s">
        <v>31</v>
      </c>
      <c r="I1508" s="1" t="str">
        <f>IF(G1508&lt;=$K$1,"Pagado","Pendiente")</f>
        <v>Pendiente</v>
      </c>
    </row>
    <row r="1509" spans="1:9" hidden="1">
      <c r="A1509" s="2">
        <v>24132</v>
      </c>
      <c r="B1509" t="s">
        <v>91</v>
      </c>
      <c r="C1509" s="27">
        <v>1746512.9</v>
      </c>
      <c r="D1509" s="27">
        <v>5781197.3600000003</v>
      </c>
      <c r="E1509" s="27">
        <v>694321.8</v>
      </c>
      <c r="F1509" s="25">
        <v>8222032.0599999996</v>
      </c>
      <c r="G1509" s="6">
        <v>47339</v>
      </c>
      <c r="H1509" s="1" t="s">
        <v>31</v>
      </c>
      <c r="I1509" s="1" t="str">
        <f>IF(G1509&lt;=$K$1,"Pagado","Pendiente")</f>
        <v>Pendiente</v>
      </c>
    </row>
    <row r="1510" spans="1:9" hidden="1">
      <c r="A1510" s="2">
        <v>24132</v>
      </c>
      <c r="B1510" t="s">
        <v>92</v>
      </c>
      <c r="C1510" s="27">
        <v>1814967.83</v>
      </c>
      <c r="D1510" s="27">
        <v>5712742.4299999997</v>
      </c>
      <c r="E1510" s="27">
        <v>686100.37</v>
      </c>
      <c r="F1510" s="25">
        <v>8213810.6299999999</v>
      </c>
      <c r="G1510" s="6">
        <v>47370</v>
      </c>
      <c r="H1510" s="1" t="s">
        <v>31</v>
      </c>
      <c r="I1510" s="1" t="str">
        <f>IF(G1510&lt;=$K$1,"Pagado","Pendiente")</f>
        <v>Pendiente</v>
      </c>
    </row>
    <row r="1511" spans="1:9" hidden="1">
      <c r="A1511" s="2">
        <v>24132</v>
      </c>
      <c r="B1511" t="s">
        <v>93</v>
      </c>
      <c r="C1511" s="27">
        <v>1886105.87</v>
      </c>
      <c r="D1511" s="27">
        <v>5641604.3899999997</v>
      </c>
      <c r="E1511" s="27">
        <v>677556.69</v>
      </c>
      <c r="F1511" s="25">
        <v>8205266.9499999993</v>
      </c>
      <c r="G1511" s="6">
        <v>47400</v>
      </c>
      <c r="H1511" s="1" t="s">
        <v>31</v>
      </c>
      <c r="I1511" s="1" t="str">
        <f>IF(G1511&lt;=$K$1,"Pagado","Pendiente")</f>
        <v>Pendiente</v>
      </c>
    </row>
    <row r="1512" spans="1:9" hidden="1">
      <c r="A1512" s="2">
        <v>24132</v>
      </c>
      <c r="B1512" t="s">
        <v>94</v>
      </c>
      <c r="C1512" s="27">
        <v>1960032.17</v>
      </c>
      <c r="D1512" s="27">
        <v>5567678.0899999999</v>
      </c>
      <c r="E1512" s="27">
        <v>668678.14</v>
      </c>
      <c r="F1512" s="25">
        <v>8196388.3999999994</v>
      </c>
      <c r="G1512" s="6">
        <v>47431</v>
      </c>
      <c r="H1512" s="1" t="s">
        <v>31</v>
      </c>
      <c r="I1512" s="1" t="str">
        <f>IF(G1512&lt;=$K$1,"Pagado","Pendiente")</f>
        <v>Pendiente</v>
      </c>
    </row>
    <row r="1513" spans="1:9" hidden="1">
      <c r="A1513" s="2">
        <v>24132</v>
      </c>
      <c r="B1513" t="s">
        <v>95</v>
      </c>
      <c r="C1513" s="27">
        <v>2036856.03</v>
      </c>
      <c r="D1513" s="27">
        <v>5490854.2300000004</v>
      </c>
      <c r="E1513" s="27">
        <v>659451.59</v>
      </c>
      <c r="F1513" s="25">
        <v>8187161.8500000006</v>
      </c>
      <c r="G1513" s="6">
        <v>47461</v>
      </c>
      <c r="H1513" s="1" t="s">
        <v>31</v>
      </c>
      <c r="I1513" s="1" t="str">
        <f>IF(G1513&lt;=$K$1,"Pagado","Pendiente")</f>
        <v>Pendiente</v>
      </c>
    </row>
    <row r="1514" spans="1:9" hidden="1">
      <c r="A1514" s="2">
        <v>24132</v>
      </c>
      <c r="B1514" t="s">
        <v>96</v>
      </c>
      <c r="C1514" s="27">
        <v>2116691.02</v>
      </c>
      <c r="D1514" s="27">
        <v>5411019.2400000002</v>
      </c>
      <c r="E1514" s="27">
        <v>649863.41</v>
      </c>
      <c r="F1514" s="25">
        <v>8177573.6699999999</v>
      </c>
      <c r="G1514" s="6">
        <v>47492</v>
      </c>
      <c r="H1514" s="1" t="s">
        <v>31</v>
      </c>
      <c r="I1514" s="1" t="str">
        <f>IF(G1514&lt;=$K$1,"Pagado","Pendiente")</f>
        <v>Pendiente</v>
      </c>
    </row>
    <row r="1515" spans="1:9" hidden="1">
      <c r="A1515" s="2">
        <v>24132</v>
      </c>
      <c r="B1515" t="s">
        <v>97</v>
      </c>
      <c r="C1515" s="27">
        <v>2199655.16</v>
      </c>
      <c r="D1515" s="27">
        <v>5328055.0999999996</v>
      </c>
      <c r="E1515" s="27">
        <v>639899.43000000005</v>
      </c>
      <c r="F1515" s="25">
        <v>8167609.6899999995</v>
      </c>
      <c r="G1515" s="6">
        <v>47523</v>
      </c>
      <c r="H1515" s="1" t="s">
        <v>31</v>
      </c>
      <c r="I1515" s="1" t="str">
        <f>IF(G1515&lt;=$K$1,"Pagado","Pendiente")</f>
        <v>Pendiente</v>
      </c>
    </row>
    <row r="1516" spans="1:9" hidden="1">
      <c r="A1516" s="2">
        <v>24132</v>
      </c>
      <c r="B1516" t="s">
        <v>98</v>
      </c>
      <c r="C1516" s="27">
        <v>2285871.1</v>
      </c>
      <c r="D1516" s="27">
        <v>5241839.16</v>
      </c>
      <c r="E1516" s="27">
        <v>629544.88</v>
      </c>
      <c r="F1516" s="25">
        <v>8157255.1399999997</v>
      </c>
      <c r="G1516" s="6">
        <v>47551</v>
      </c>
      <c r="H1516" s="1" t="s">
        <v>31</v>
      </c>
      <c r="I1516" s="1" t="str">
        <f>IF(G1516&lt;=$K$1,"Pagado","Pendiente")</f>
        <v>Pendiente</v>
      </c>
    </row>
    <row r="1517" spans="1:9" hidden="1">
      <c r="A1517" s="2">
        <v>24132</v>
      </c>
      <c r="B1517" t="s">
        <v>99</v>
      </c>
      <c r="C1517" s="27">
        <v>2375466.2799999998</v>
      </c>
      <c r="D1517" s="27">
        <v>5152243.9800000004</v>
      </c>
      <c r="E1517" s="27">
        <v>618784.5</v>
      </c>
      <c r="F1517" s="25">
        <v>8146494.7599999998</v>
      </c>
      <c r="G1517" s="6">
        <v>47582</v>
      </c>
      <c r="H1517" s="1" t="s">
        <v>31</v>
      </c>
      <c r="I1517" s="1" t="str">
        <f>IF(G1517&lt;=$K$1,"Pagado","Pendiente")</f>
        <v>Pendiente</v>
      </c>
    </row>
    <row r="1518" spans="1:9" hidden="1">
      <c r="A1518" s="2">
        <v>24132</v>
      </c>
      <c r="B1518" t="s">
        <v>100</v>
      </c>
      <c r="C1518" s="27">
        <v>2468573.17</v>
      </c>
      <c r="D1518" s="27">
        <v>5059137.09</v>
      </c>
      <c r="E1518" s="27">
        <v>607602.36</v>
      </c>
      <c r="F1518" s="25">
        <v>8135312.6200000001</v>
      </c>
      <c r="G1518" s="6">
        <v>47612</v>
      </c>
      <c r="H1518" s="1" t="s">
        <v>31</v>
      </c>
      <c r="I1518" s="1" t="str">
        <f>IF(G1518&lt;=$K$1,"Pagado","Pendiente")</f>
        <v>Pendiente</v>
      </c>
    </row>
    <row r="1519" spans="1:9" hidden="1">
      <c r="A1519" s="2">
        <v>24132</v>
      </c>
      <c r="B1519" t="s">
        <v>101</v>
      </c>
      <c r="C1519" s="27">
        <v>2565329.4</v>
      </c>
      <c r="D1519" s="27">
        <v>4962380.8600000003</v>
      </c>
      <c r="E1519" s="27">
        <v>595981.93999999994</v>
      </c>
      <c r="F1519" s="25">
        <v>8123692.1999999993</v>
      </c>
      <c r="G1519" s="6">
        <v>47643</v>
      </c>
      <c r="H1519" s="1" t="s">
        <v>31</v>
      </c>
      <c r="I1519" s="1" t="str">
        <f>IF(G1519&lt;=$K$1,"Pagado","Pendiente")</f>
        <v>Pendiente</v>
      </c>
    </row>
    <row r="1520" spans="1:9" hidden="1">
      <c r="A1520" s="2">
        <v>24132</v>
      </c>
      <c r="B1520" t="s">
        <v>102</v>
      </c>
      <c r="C1520" s="27">
        <v>2665878.0099999998</v>
      </c>
      <c r="D1520" s="27">
        <v>4861832.25</v>
      </c>
      <c r="E1520" s="27">
        <v>583906.05000000005</v>
      </c>
      <c r="F1520" s="25">
        <v>8111616.3099999996</v>
      </c>
      <c r="G1520" s="6">
        <v>47673</v>
      </c>
      <c r="H1520" s="1" t="s">
        <v>31</v>
      </c>
      <c r="I1520" s="1" t="str">
        <f>IF(G1520&lt;=$K$1,"Pagado","Pendiente")</f>
        <v>Pendiente</v>
      </c>
    </row>
    <row r="1521" spans="1:9" hidden="1">
      <c r="A1521" s="2">
        <v>24132</v>
      </c>
      <c r="B1521" t="s">
        <v>103</v>
      </c>
      <c r="C1521" s="27">
        <v>2770367.65</v>
      </c>
      <c r="D1521" s="27">
        <v>4757342.6100000003</v>
      </c>
      <c r="E1521" s="27">
        <v>571356.84</v>
      </c>
      <c r="F1521" s="25">
        <v>8099067.0999999996</v>
      </c>
      <c r="G1521" s="6">
        <v>47704</v>
      </c>
      <c r="H1521" s="1" t="s">
        <v>31</v>
      </c>
      <c r="I1521" s="1" t="str">
        <f>IF(G1521&lt;=$K$1,"Pagado","Pendiente")</f>
        <v>Pendiente</v>
      </c>
    </row>
    <row r="1522" spans="1:9" hidden="1">
      <c r="A1522" s="2">
        <v>24132</v>
      </c>
      <c r="B1522" t="s">
        <v>104</v>
      </c>
      <c r="C1522" s="27">
        <v>2878952.78</v>
      </c>
      <c r="D1522" s="27">
        <v>4648757.4800000004</v>
      </c>
      <c r="E1522" s="27">
        <v>558315.78</v>
      </c>
      <c r="F1522" s="25">
        <v>8086026.04</v>
      </c>
      <c r="G1522" s="6">
        <v>47735</v>
      </c>
      <c r="H1522" s="1" t="s">
        <v>31</v>
      </c>
      <c r="I1522" s="1" t="str">
        <f>IF(G1522&lt;=$K$1,"Pagado","Pendiente")</f>
        <v>Pendiente</v>
      </c>
    </row>
    <row r="1523" spans="1:9" hidden="1">
      <c r="A1523" s="2">
        <v>24132</v>
      </c>
      <c r="B1523" t="s">
        <v>105</v>
      </c>
      <c r="C1523" s="27">
        <v>2991793.92</v>
      </c>
      <c r="D1523" s="27">
        <v>4535916.34</v>
      </c>
      <c r="E1523" s="27">
        <v>544763.56000000006</v>
      </c>
      <c r="F1523" s="25">
        <v>8072473.8200000003</v>
      </c>
      <c r="G1523" s="6">
        <v>47765</v>
      </c>
      <c r="H1523" s="1" t="s">
        <v>31</v>
      </c>
      <c r="I1523" s="1" t="str">
        <f>IF(G1523&lt;=$K$1,"Pagado","Pendiente")</f>
        <v>Pendiente</v>
      </c>
    </row>
    <row r="1524" spans="1:9" hidden="1">
      <c r="A1524" s="2">
        <v>24132</v>
      </c>
      <c r="B1524" t="s">
        <v>106</v>
      </c>
      <c r="C1524" s="27">
        <v>3109057.9</v>
      </c>
      <c r="D1524" s="27">
        <v>4418652.3600000003</v>
      </c>
      <c r="E1524" s="27">
        <v>530680.16</v>
      </c>
      <c r="F1524" s="25">
        <v>8058390.4199999999</v>
      </c>
      <c r="G1524" s="6">
        <v>47796</v>
      </c>
      <c r="H1524" s="1" t="s">
        <v>31</v>
      </c>
      <c r="I1524" s="1" t="str">
        <f>IF(G1524&lt;=$K$1,"Pagado","Pendiente")</f>
        <v>Pendiente</v>
      </c>
    </row>
    <row r="1525" spans="1:9" hidden="1">
      <c r="A1525" s="2">
        <v>24132</v>
      </c>
      <c r="B1525" t="s">
        <v>107</v>
      </c>
      <c r="C1525" s="27">
        <v>3230918.06</v>
      </c>
      <c r="D1525" s="27">
        <v>4296792.2</v>
      </c>
      <c r="E1525" s="27">
        <v>516044.74</v>
      </c>
      <c r="F1525" s="25">
        <v>8043755</v>
      </c>
      <c r="G1525" s="6">
        <v>47826</v>
      </c>
      <c r="H1525" s="1" t="s">
        <v>31</v>
      </c>
      <c r="I1525" s="1" t="str">
        <f>IF(G1525&lt;=$K$1,"Pagado","Pendiente")</f>
        <v>Pendiente</v>
      </c>
    </row>
    <row r="1526" spans="1:9" hidden="1">
      <c r="A1526" s="2">
        <v>24132</v>
      </c>
      <c r="B1526" t="s">
        <v>108</v>
      </c>
      <c r="C1526" s="27">
        <v>3357554.56</v>
      </c>
      <c r="D1526" s="27">
        <v>4170155.7</v>
      </c>
      <c r="E1526" s="27">
        <v>500835.71</v>
      </c>
      <c r="F1526" s="25">
        <v>8028545.9699999997</v>
      </c>
      <c r="G1526" s="6">
        <v>47857</v>
      </c>
      <c r="H1526" s="1" t="s">
        <v>31</v>
      </c>
      <c r="I1526" s="1" t="str">
        <f>IF(G1526&lt;=$K$1,"Pagado","Pendiente")</f>
        <v>Pendiente</v>
      </c>
    </row>
    <row r="1527" spans="1:9" hidden="1">
      <c r="A1527" s="2">
        <v>24132</v>
      </c>
      <c r="B1527" t="s">
        <v>109</v>
      </c>
      <c r="C1527" s="27">
        <v>3489154.6</v>
      </c>
      <c r="D1527" s="27">
        <v>4038555.66</v>
      </c>
      <c r="E1527" s="27">
        <v>485030.53</v>
      </c>
      <c r="F1527" s="25">
        <v>8012740.79</v>
      </c>
      <c r="G1527" s="6">
        <v>47888</v>
      </c>
      <c r="H1527" s="1" t="s">
        <v>31</v>
      </c>
      <c r="I1527" s="1" t="str">
        <f>IF(G1527&lt;=$K$1,"Pagado","Pendiente")</f>
        <v>Pendiente</v>
      </c>
    </row>
    <row r="1528" spans="1:9" hidden="1">
      <c r="A1528" s="2">
        <v>24132</v>
      </c>
      <c r="B1528" t="s">
        <v>110</v>
      </c>
      <c r="C1528" s="27">
        <v>3625912.72</v>
      </c>
      <c r="D1528" s="27">
        <v>3901797.54</v>
      </c>
      <c r="E1528" s="27">
        <v>468605.88</v>
      </c>
      <c r="F1528" s="25">
        <v>7996316.1399999997</v>
      </c>
      <c r="G1528" s="6">
        <v>47916</v>
      </c>
      <c r="H1528" s="1" t="s">
        <v>31</v>
      </c>
      <c r="I1528" s="1" t="str">
        <f>IF(G1528&lt;=$K$1,"Pagado","Pendiente")</f>
        <v>Pendiente</v>
      </c>
    </row>
    <row r="1529" spans="1:9" hidden="1">
      <c r="A1529" s="2">
        <v>24132</v>
      </c>
      <c r="B1529" t="s">
        <v>111</v>
      </c>
      <c r="C1529" s="27">
        <v>3768031.12</v>
      </c>
      <c r="D1529" s="27">
        <v>3759679.14</v>
      </c>
      <c r="E1529" s="27">
        <v>451537.47</v>
      </c>
      <c r="F1529" s="25">
        <v>7979247.7299999995</v>
      </c>
      <c r="G1529" s="6">
        <v>47947</v>
      </c>
      <c r="H1529" s="1" t="s">
        <v>31</v>
      </c>
      <c r="I1529" s="1" t="str">
        <f>IF(G1529&lt;=$K$1,"Pagado","Pendiente")</f>
        <v>Pendiente</v>
      </c>
    </row>
    <row r="1530" spans="1:9" hidden="1">
      <c r="A1530" s="2">
        <v>24132</v>
      </c>
      <c r="B1530" t="s">
        <v>112</v>
      </c>
      <c r="C1530" s="27">
        <v>3915719.87</v>
      </c>
      <c r="D1530" s="27">
        <v>3611990.39</v>
      </c>
      <c r="E1530" s="27">
        <v>433800.05</v>
      </c>
      <c r="F1530" s="25">
        <v>7961510.3099999996</v>
      </c>
      <c r="G1530" s="6">
        <v>47977</v>
      </c>
      <c r="H1530" s="1" t="s">
        <v>31</v>
      </c>
      <c r="I1530" s="1" t="str">
        <f>IF(G1530&lt;=$K$1,"Pagado","Pendiente")</f>
        <v>Pendiente</v>
      </c>
    </row>
    <row r="1531" spans="1:9" hidden="1">
      <c r="A1531" s="2">
        <v>24132</v>
      </c>
      <c r="B1531" t="s">
        <v>113</v>
      </c>
      <c r="C1531" s="27">
        <v>4069197.31</v>
      </c>
      <c r="D1531" s="27">
        <v>3458512.95</v>
      </c>
      <c r="E1531" s="27">
        <v>415367.4</v>
      </c>
      <c r="F1531" s="25">
        <v>7943077.6600000001</v>
      </c>
      <c r="G1531" s="6">
        <v>48008</v>
      </c>
      <c r="H1531" s="1" t="s">
        <v>31</v>
      </c>
      <c r="I1531" s="1" t="str">
        <f>IF(G1531&lt;=$K$1,"Pagado","Pendiente")</f>
        <v>Pendiente</v>
      </c>
    </row>
    <row r="1532" spans="1:9" hidden="1">
      <c r="A1532" s="2">
        <v>24132</v>
      </c>
      <c r="B1532" t="s">
        <v>114</v>
      </c>
      <c r="C1532" s="27">
        <v>4228690.34</v>
      </c>
      <c r="D1532" s="27">
        <v>3299019.92</v>
      </c>
      <c r="E1532" s="27">
        <v>396212.29</v>
      </c>
      <c r="F1532" s="25">
        <v>7923922.5499999998</v>
      </c>
      <c r="G1532" s="6">
        <v>48038</v>
      </c>
      <c r="H1532" s="1" t="s">
        <v>31</v>
      </c>
      <c r="I1532" s="1" t="str">
        <f>IF(G1532&lt;=$K$1,"Pagado","Pendiente")</f>
        <v>Pendiente</v>
      </c>
    </row>
    <row r="1533" spans="1:9" hidden="1">
      <c r="A1533" s="2">
        <v>24132</v>
      </c>
      <c r="B1533" t="s">
        <v>115</v>
      </c>
      <c r="C1533" s="27">
        <v>4394434.72</v>
      </c>
      <c r="D1533" s="27">
        <v>3133275.54</v>
      </c>
      <c r="E1533" s="27">
        <v>376306.39</v>
      </c>
      <c r="F1533" s="25">
        <v>7904016.6499999994</v>
      </c>
      <c r="G1533" s="6">
        <v>48069</v>
      </c>
      <c r="H1533" s="1" t="s">
        <v>31</v>
      </c>
      <c r="I1533" s="1" t="str">
        <f>IF(G1533&lt;=$K$1,"Pagado","Pendiente")</f>
        <v>Pendiente</v>
      </c>
    </row>
    <row r="1534" spans="1:9" hidden="1">
      <c r="A1534" s="2">
        <v>24132</v>
      </c>
      <c r="B1534" t="s">
        <v>116</v>
      </c>
      <c r="C1534" s="27">
        <v>4566675.49</v>
      </c>
      <c r="D1534" s="27">
        <v>2961034.77</v>
      </c>
      <c r="E1534" s="27">
        <v>355620.27</v>
      </c>
      <c r="F1534" s="25">
        <v>7883330.5299999993</v>
      </c>
      <c r="G1534" s="6">
        <v>48100</v>
      </c>
      <c r="H1534" s="1" t="s">
        <v>31</v>
      </c>
      <c r="I1534" s="1" t="str">
        <f>IF(G1534&lt;=$K$1,"Pagado","Pendiente")</f>
        <v>Pendiente</v>
      </c>
    </row>
    <row r="1535" spans="1:9" hidden="1">
      <c r="A1535" s="2">
        <v>24132</v>
      </c>
      <c r="B1535" t="s">
        <v>117</v>
      </c>
      <c r="C1535" s="27">
        <v>4745667.2699999996</v>
      </c>
      <c r="D1535" s="27">
        <v>2782042.99</v>
      </c>
      <c r="E1535" s="27">
        <v>334123.34999999998</v>
      </c>
      <c r="F1535" s="25">
        <v>7861833.6099999994</v>
      </c>
      <c r="G1535" s="6">
        <v>48130</v>
      </c>
      <c r="H1535" s="1" t="s">
        <v>31</v>
      </c>
      <c r="I1535" s="1" t="str">
        <f>IF(G1535&lt;=$K$1,"Pagado","Pendiente")</f>
        <v>Pendiente</v>
      </c>
    </row>
    <row r="1536" spans="1:9" hidden="1">
      <c r="A1536" s="2">
        <v>24132</v>
      </c>
      <c r="B1536" t="s">
        <v>118</v>
      </c>
      <c r="C1536" s="27">
        <v>4931674.67</v>
      </c>
      <c r="D1536" s="27">
        <v>2596035.59</v>
      </c>
      <c r="E1536" s="27">
        <v>311783.87</v>
      </c>
      <c r="F1536" s="25">
        <v>7839494.1299999999</v>
      </c>
      <c r="G1536" s="6">
        <v>48161</v>
      </c>
      <c r="H1536" s="1" t="s">
        <v>31</v>
      </c>
      <c r="I1536" s="1" t="str">
        <f>IF(G1536&lt;=$K$1,"Pagado","Pendiente")</f>
        <v>Pendiente</v>
      </c>
    </row>
    <row r="1537" spans="1:9" hidden="1">
      <c r="A1537" s="2">
        <v>24132</v>
      </c>
      <c r="B1537" t="s">
        <v>119</v>
      </c>
      <c r="C1537" s="27">
        <v>5124972.67</v>
      </c>
      <c r="D1537" s="27">
        <v>2402737.59</v>
      </c>
      <c r="E1537" s="27">
        <v>288568.78000000003</v>
      </c>
      <c r="F1537" s="25">
        <v>7816279.04</v>
      </c>
      <c r="G1537" s="6">
        <v>48191</v>
      </c>
      <c r="H1537" s="1" t="s">
        <v>31</v>
      </c>
      <c r="I1537" s="1" t="str">
        <f>IF(G1537&lt;=$K$1,"Pagado","Pendiente")</f>
        <v>Pendiente</v>
      </c>
    </row>
    <row r="1538" spans="1:9" hidden="1">
      <c r="A1538" s="2">
        <v>24132</v>
      </c>
      <c r="B1538" t="s">
        <v>120</v>
      </c>
      <c r="C1538" s="27">
        <v>5325847.03</v>
      </c>
      <c r="D1538" s="27">
        <v>2201863.23</v>
      </c>
      <c r="E1538" s="27">
        <v>264443.78000000003</v>
      </c>
      <c r="F1538" s="25">
        <v>7792154.04</v>
      </c>
      <c r="G1538" s="6">
        <v>48222</v>
      </c>
      <c r="H1538" s="1" t="s">
        <v>31</v>
      </c>
      <c r="I1538" s="1" t="str">
        <f>IF(G1538&lt;=$K$1,"Pagado","Pendiente")</f>
        <v>Pendiente</v>
      </c>
    </row>
    <row r="1539" spans="1:9" hidden="1">
      <c r="A1539" s="2">
        <v>24132</v>
      </c>
      <c r="B1539" t="s">
        <v>121</v>
      </c>
      <c r="C1539" s="27">
        <v>5534594.6900000004</v>
      </c>
      <c r="D1539" s="27">
        <v>1993115.57</v>
      </c>
      <c r="E1539" s="27">
        <v>239373.17</v>
      </c>
      <c r="F1539" s="25">
        <v>7767083.4300000006</v>
      </c>
      <c r="G1539" s="6">
        <v>48253</v>
      </c>
      <c r="H1539" s="1" t="s">
        <v>31</v>
      </c>
      <c r="I1539" s="1" t="str">
        <f>IF(G1539&lt;=$K$1,"Pagado","Pendiente")</f>
        <v>Pendiente</v>
      </c>
    </row>
    <row r="1540" spans="1:9" hidden="1">
      <c r="A1540" s="2">
        <v>24132</v>
      </c>
      <c r="B1540" t="s">
        <v>122</v>
      </c>
      <c r="C1540" s="27">
        <v>5751524.2699999996</v>
      </c>
      <c r="D1540" s="27">
        <v>1776185.99</v>
      </c>
      <c r="E1540" s="27">
        <v>213319.94</v>
      </c>
      <c r="F1540" s="25">
        <v>7741030.2000000002</v>
      </c>
      <c r="G1540" s="6">
        <v>48282</v>
      </c>
      <c r="H1540" s="1" t="s">
        <v>31</v>
      </c>
      <c r="I1540" s="1" t="str">
        <f>IF(G1540&lt;=$K$1,"Pagado","Pendiente")</f>
        <v>Pendiente</v>
      </c>
    </row>
    <row r="1541" spans="1:9" hidden="1">
      <c r="A1541" s="2">
        <v>24132</v>
      </c>
      <c r="B1541" t="s">
        <v>123</v>
      </c>
      <c r="C1541" s="27">
        <v>5976956.4400000004</v>
      </c>
      <c r="D1541" s="27">
        <v>1550753.82</v>
      </c>
      <c r="E1541" s="27">
        <v>186245.54</v>
      </c>
      <c r="F1541" s="25">
        <v>7713955.8000000007</v>
      </c>
      <c r="G1541" s="6">
        <v>48313</v>
      </c>
      <c r="H1541" s="1" t="s">
        <v>31</v>
      </c>
      <c r="I1541" s="1" t="str">
        <f>IF(G1541&lt;=$K$1,"Pagado","Pendiente")</f>
        <v>Pendiente</v>
      </c>
    </row>
    <row r="1542" spans="1:9" hidden="1">
      <c r="A1542" s="2">
        <v>24132</v>
      </c>
      <c r="B1542" t="s">
        <v>124</v>
      </c>
      <c r="C1542" s="27">
        <v>6211224.4699999997</v>
      </c>
      <c r="D1542" s="27">
        <v>1316485.79</v>
      </c>
      <c r="E1542" s="27">
        <v>158109.95000000001</v>
      </c>
      <c r="F1542" s="25">
        <v>7685820.21</v>
      </c>
      <c r="G1542" s="6">
        <v>48343</v>
      </c>
      <c r="H1542" s="1" t="s">
        <v>31</v>
      </c>
      <c r="I1542" s="1" t="str">
        <f>IF(G1542&lt;=$K$1,"Pagado","Pendiente")</f>
        <v>Pendiente</v>
      </c>
    </row>
    <row r="1543" spans="1:9" hidden="1">
      <c r="A1543" s="2">
        <v>24132</v>
      </c>
      <c r="B1543" t="s">
        <v>125</v>
      </c>
      <c r="C1543" s="27">
        <v>6454674.6900000004</v>
      </c>
      <c r="D1543" s="27">
        <v>1073035.57</v>
      </c>
      <c r="E1543" s="27">
        <v>128871.56</v>
      </c>
      <c r="F1543" s="25">
        <v>7656581.8200000003</v>
      </c>
      <c r="G1543" s="6">
        <v>48374</v>
      </c>
      <c r="H1543" s="1" t="s">
        <v>31</v>
      </c>
      <c r="I1543" s="1" t="str">
        <f>IF(G1543&lt;=$K$1,"Pagado","Pendiente")</f>
        <v>Pendiente</v>
      </c>
    </row>
    <row r="1544" spans="1:9" hidden="1">
      <c r="A1544" s="2">
        <v>24132</v>
      </c>
      <c r="B1544" t="s">
        <v>126</v>
      </c>
      <c r="C1544" s="27">
        <v>6707666.9900000002</v>
      </c>
      <c r="D1544" s="27">
        <v>820043.27</v>
      </c>
      <c r="E1544" s="27">
        <v>98487.19</v>
      </c>
      <c r="F1544" s="25">
        <v>7626197.4500000002</v>
      </c>
      <c r="G1544" s="6">
        <v>48404</v>
      </c>
      <c r="H1544" s="1" t="s">
        <v>31</v>
      </c>
      <c r="I1544" s="1" t="str">
        <f>IF(G1544&lt;=$K$1,"Pagado","Pendiente")</f>
        <v>Pendiente</v>
      </c>
    </row>
    <row r="1545" spans="1:9" hidden="1">
      <c r="A1545" s="2">
        <v>24132</v>
      </c>
      <c r="B1545" t="s">
        <v>127</v>
      </c>
      <c r="C1545" s="27">
        <v>6970575.3700000001</v>
      </c>
      <c r="D1545" s="27">
        <v>557134.89</v>
      </c>
      <c r="E1545" s="27">
        <v>66911.89</v>
      </c>
      <c r="F1545" s="25">
        <v>7594622.1499999994</v>
      </c>
      <c r="G1545" s="6">
        <v>48435</v>
      </c>
      <c r="H1545" s="1" t="s">
        <v>31</v>
      </c>
      <c r="I1545" s="1" t="str">
        <f>IF(G1545&lt;=$K$1,"Pagado","Pendiente")</f>
        <v>Pendiente</v>
      </c>
    </row>
    <row r="1546" spans="1:9" hidden="1">
      <c r="A1546" s="2">
        <v>24132</v>
      </c>
      <c r="B1546" t="s">
        <v>128</v>
      </c>
      <c r="C1546" s="27">
        <v>7243788.1100000003</v>
      </c>
      <c r="D1546" s="27">
        <v>283921.76</v>
      </c>
      <c r="E1546" s="27">
        <v>34099</v>
      </c>
      <c r="F1546" s="25">
        <v>7561808.8700000001</v>
      </c>
      <c r="G1546" s="6">
        <v>48466</v>
      </c>
      <c r="H1546" s="1" t="s">
        <v>31</v>
      </c>
      <c r="I1546" s="1" t="str">
        <f>IF(G1546&lt;=$K$1,"Pagado","Pendiente")</f>
        <v>Pendiente</v>
      </c>
    </row>
    <row r="1547" spans="1:9" hidden="1">
      <c r="A1547" s="2">
        <v>24214</v>
      </c>
      <c r="B1547" s="2">
        <v>1</v>
      </c>
      <c r="C1547" s="27">
        <v>0</v>
      </c>
      <c r="D1547" s="27">
        <v>5856164.46</v>
      </c>
      <c r="E1547" s="27">
        <v>703325.36</v>
      </c>
      <c r="F1547" s="25">
        <v>6559489.8200000003</v>
      </c>
      <c r="G1547" s="6">
        <v>45979</v>
      </c>
      <c r="H1547" s="1" t="s">
        <v>31</v>
      </c>
      <c r="I1547" s="1" t="str">
        <f>IF(G1547&lt;=$K$1,"Pagado","Pendiente")</f>
        <v>Pagado</v>
      </c>
    </row>
    <row r="1548" spans="1:9" hidden="1">
      <c r="A1548" s="2">
        <v>20466</v>
      </c>
      <c r="B1548" s="2">
        <v>40</v>
      </c>
      <c r="C1548" s="8">
        <v>513570.7447868716</v>
      </c>
      <c r="D1548" s="8">
        <v>848591.03899991419</v>
      </c>
      <c r="E1548" s="8">
        <f>+D1548*0.12</f>
        <v>101830.92467998969</v>
      </c>
      <c r="F1548" s="8">
        <f>+C1548+D1548+E1548</f>
        <v>1463992.7084667755</v>
      </c>
      <c r="G1548" s="7">
        <v>46022</v>
      </c>
      <c r="H1548" s="1" t="s">
        <v>31</v>
      </c>
      <c r="I1548" s="1" t="str">
        <f>IF(G1548&lt;=$K$1,"Pagado","Pendiente")</f>
        <v>Pagado</v>
      </c>
    </row>
    <row r="1549" spans="1:9" hidden="1">
      <c r="A1549" s="2">
        <v>24214</v>
      </c>
      <c r="B1549" s="2">
        <v>3</v>
      </c>
      <c r="C1549" s="27">
        <v>0</v>
      </c>
      <c r="D1549" s="27">
        <v>9246575.3399999999</v>
      </c>
      <c r="E1549" s="27">
        <v>1110513.7</v>
      </c>
      <c r="F1549" s="25">
        <v>10357089.039999999</v>
      </c>
      <c r="G1549" s="6">
        <v>46040</v>
      </c>
      <c r="H1549" s="1" t="s">
        <v>31</v>
      </c>
      <c r="I1549" s="1" t="str">
        <f>IF(G1549&lt;=$K$1,"Pagado","Pendiente")</f>
        <v>Pagado</v>
      </c>
    </row>
    <row r="1550" spans="1:9" hidden="1">
      <c r="A1550" s="2">
        <v>24214</v>
      </c>
      <c r="B1550" s="2">
        <v>4</v>
      </c>
      <c r="C1550" s="27">
        <v>0</v>
      </c>
      <c r="D1550" s="27">
        <v>9246575.3399999999</v>
      </c>
      <c r="E1550" s="27">
        <v>1110513.7</v>
      </c>
      <c r="F1550" s="25">
        <v>10357089.039999999</v>
      </c>
      <c r="G1550" s="6">
        <v>46071</v>
      </c>
      <c r="H1550" s="1" t="s">
        <v>31</v>
      </c>
      <c r="I1550" s="1" t="str">
        <f>IF(G1550&lt;=$K$1,"Pagado","Pendiente")</f>
        <v>Pagado</v>
      </c>
    </row>
    <row r="1551" spans="1:9" hidden="1">
      <c r="A1551" s="2">
        <v>24214</v>
      </c>
      <c r="B1551" s="2">
        <v>5</v>
      </c>
      <c r="C1551" s="27">
        <v>0</v>
      </c>
      <c r="D1551" s="27">
        <v>9246575.3399999999</v>
      </c>
      <c r="E1551" s="27">
        <v>1110513.7</v>
      </c>
      <c r="F1551" s="25">
        <v>10357089.039999999</v>
      </c>
      <c r="G1551" s="6">
        <v>46099</v>
      </c>
      <c r="H1551" s="1" t="s">
        <v>31</v>
      </c>
      <c r="I1551" s="1" t="str">
        <f>IF(G1551&lt;=$K$1,"Pagado","Pendiente")</f>
        <v>Pagado</v>
      </c>
    </row>
    <row r="1552" spans="1:9" hidden="1">
      <c r="A1552" s="2">
        <v>24214</v>
      </c>
      <c r="B1552" s="2">
        <v>6</v>
      </c>
      <c r="C1552" s="27">
        <v>0</v>
      </c>
      <c r="D1552" s="27">
        <v>9246575.3399999999</v>
      </c>
      <c r="E1552" s="27">
        <v>1110513.7</v>
      </c>
      <c r="F1552" s="25">
        <v>10357089.039999999</v>
      </c>
      <c r="G1552" s="6">
        <v>46130</v>
      </c>
      <c r="H1552" s="1" t="s">
        <v>31</v>
      </c>
      <c r="I1552" s="1" t="str">
        <f>IF(G1552&lt;=$K$1,"Pagado","Pendiente")</f>
        <v>Pagado</v>
      </c>
    </row>
    <row r="1553" spans="1:9">
      <c r="A1553" s="2">
        <v>885417400</v>
      </c>
      <c r="B1553" s="2">
        <v>14</v>
      </c>
      <c r="C1553" s="8">
        <v>27777777.777777776</v>
      </c>
      <c r="D1553" s="8">
        <v>4245370.3703703647</v>
      </c>
      <c r="E1553" s="8">
        <v>509444.4444444438</v>
      </c>
      <c r="F1553" s="8">
        <v>32532592.592592586</v>
      </c>
      <c r="G1553" s="7">
        <v>46167</v>
      </c>
      <c r="H1553" s="1" t="s">
        <v>24</v>
      </c>
      <c r="I1553" s="1" t="str">
        <f>IF(G1553&lt;=$K$1,"Pagado","Pendiente")</f>
        <v>Pendiente</v>
      </c>
    </row>
    <row r="1554" spans="1:9" hidden="1">
      <c r="A1554" s="2">
        <v>24214</v>
      </c>
      <c r="B1554" s="2">
        <v>8</v>
      </c>
      <c r="C1554" s="27">
        <v>1350507.97</v>
      </c>
      <c r="D1554" s="27">
        <v>9180589.6099999994</v>
      </c>
      <c r="E1554" s="27">
        <v>1102588.81</v>
      </c>
      <c r="F1554" s="25">
        <v>11633686.390000001</v>
      </c>
      <c r="G1554" s="6">
        <v>46191</v>
      </c>
      <c r="H1554" s="1" t="s">
        <v>31</v>
      </c>
      <c r="I1554" s="1" t="str">
        <f>IF(G1554&lt;=$K$1,"Pagado","Pendiente")</f>
        <v>Pendiente</v>
      </c>
    </row>
    <row r="1555" spans="1:9" hidden="1">
      <c r="A1555" s="2">
        <v>24214</v>
      </c>
      <c r="B1555" s="2">
        <v>9</v>
      </c>
      <c r="C1555" s="27">
        <v>1419883.38</v>
      </c>
      <c r="D1555" s="27">
        <v>9111214.1999999993</v>
      </c>
      <c r="E1555" s="27">
        <v>1094256.82</v>
      </c>
      <c r="F1555" s="25">
        <v>11625354.399999999</v>
      </c>
      <c r="G1555" s="6">
        <v>46221</v>
      </c>
      <c r="H1555" s="1" t="s">
        <v>31</v>
      </c>
      <c r="I1555" s="1" t="str">
        <f>IF(G1555&lt;=$K$1,"Pagado","Pendiente")</f>
        <v>Pendiente</v>
      </c>
    </row>
    <row r="1556" spans="1:9" hidden="1">
      <c r="A1556" s="2">
        <v>24214</v>
      </c>
      <c r="B1556" s="2">
        <v>10</v>
      </c>
      <c r="C1556" s="27">
        <v>1492822.6</v>
      </c>
      <c r="D1556" s="27">
        <v>9038274.9800000004</v>
      </c>
      <c r="E1556" s="27">
        <v>1085496.82</v>
      </c>
      <c r="F1556" s="25">
        <v>11616594.4</v>
      </c>
      <c r="G1556" s="6">
        <v>46252</v>
      </c>
      <c r="H1556" s="1" t="s">
        <v>31</v>
      </c>
      <c r="I1556" s="1" t="str">
        <f>IF(G1556&lt;=$K$1,"Pagado","Pendiente")</f>
        <v>Pendiente</v>
      </c>
    </row>
    <row r="1557" spans="1:9" hidden="1">
      <c r="A1557" s="2">
        <v>24214</v>
      </c>
      <c r="B1557" s="2">
        <v>11</v>
      </c>
      <c r="C1557" s="27">
        <v>1569508.69</v>
      </c>
      <c r="D1557" s="27">
        <v>8961588.8900000006</v>
      </c>
      <c r="E1557" s="27">
        <v>1076286.82</v>
      </c>
      <c r="F1557" s="25">
        <v>11607384.4</v>
      </c>
      <c r="G1557" s="6">
        <v>46283</v>
      </c>
      <c r="H1557" s="1" t="s">
        <v>31</v>
      </c>
      <c r="I1557" s="1" t="str">
        <f>IF(G1557&lt;=$K$1,"Pagado","Pendiente")</f>
        <v>Pendiente</v>
      </c>
    </row>
    <row r="1558" spans="1:9" hidden="1">
      <c r="A1558" s="2">
        <v>24214</v>
      </c>
      <c r="B1558" s="2">
        <v>12</v>
      </c>
      <c r="C1558" s="27">
        <v>1650134.13</v>
      </c>
      <c r="D1558" s="27">
        <v>8880963.4499999993</v>
      </c>
      <c r="E1558" s="27">
        <v>1066603.71</v>
      </c>
      <c r="F1558" s="25">
        <v>11597701.289999999</v>
      </c>
      <c r="G1558" s="6">
        <v>46313</v>
      </c>
      <c r="H1558" s="1" t="s">
        <v>31</v>
      </c>
      <c r="I1558" s="1" t="str">
        <f>IF(G1558&lt;=$K$1,"Pagado","Pendiente")</f>
        <v>Pendiente</v>
      </c>
    </row>
    <row r="1559" spans="1:9" hidden="1">
      <c r="A1559" s="2">
        <v>24214</v>
      </c>
      <c r="B1559" s="2">
        <v>13</v>
      </c>
      <c r="C1559" s="27">
        <v>1734901.3</v>
      </c>
      <c r="D1559" s="27">
        <v>8796196.2799999993</v>
      </c>
      <c r="E1559" s="27">
        <v>1056423.17</v>
      </c>
      <c r="F1559" s="25">
        <v>11587520.75</v>
      </c>
      <c r="G1559" s="6">
        <v>46344</v>
      </c>
      <c r="H1559" s="1" t="s">
        <v>31</v>
      </c>
      <c r="I1559" s="1" t="str">
        <f>IF(G1559&lt;=$K$1,"Pagado","Pendiente")</f>
        <v>Pendiente</v>
      </c>
    </row>
    <row r="1560" spans="1:9" hidden="1">
      <c r="A1560" s="2">
        <v>24214</v>
      </c>
      <c r="B1560" s="2">
        <v>14</v>
      </c>
      <c r="C1560" s="27">
        <v>1824022.94</v>
      </c>
      <c r="D1560" s="27">
        <v>8707074.6400000006</v>
      </c>
      <c r="E1560" s="27">
        <v>1045719.67</v>
      </c>
      <c r="F1560" s="25">
        <v>11576817.25</v>
      </c>
      <c r="G1560" s="6">
        <v>46374</v>
      </c>
      <c r="H1560" s="1" t="s">
        <v>31</v>
      </c>
      <c r="I1560" s="1" t="str">
        <f>IF(G1560&lt;=$K$1,"Pagado","Pendiente")</f>
        <v>Pendiente</v>
      </c>
    </row>
    <row r="1561" spans="1:9" hidden="1">
      <c r="A1561" s="2">
        <v>24214</v>
      </c>
      <c r="B1561" s="2">
        <v>15</v>
      </c>
      <c r="C1561" s="27">
        <v>1917722.75</v>
      </c>
      <c r="D1561" s="27">
        <v>8613374.8300000001</v>
      </c>
      <c r="E1561" s="27">
        <v>1034466.32</v>
      </c>
      <c r="F1561" s="25">
        <v>11565563.9</v>
      </c>
      <c r="G1561" s="6">
        <v>46405</v>
      </c>
      <c r="H1561" s="1" t="s">
        <v>31</v>
      </c>
      <c r="I1561" s="1" t="str">
        <f>IF(G1561&lt;=$K$1,"Pagado","Pendiente")</f>
        <v>Pendiente</v>
      </c>
    </row>
    <row r="1562" spans="1:9" hidden="1">
      <c r="A1562" s="2">
        <v>24214</v>
      </c>
      <c r="B1562" s="2">
        <v>16</v>
      </c>
      <c r="C1562" s="27">
        <v>2016235.9</v>
      </c>
      <c r="D1562" s="27">
        <v>8514861.6799999997</v>
      </c>
      <c r="E1562" s="27">
        <v>1022634.9</v>
      </c>
      <c r="F1562" s="25">
        <v>11553732.48</v>
      </c>
      <c r="G1562" s="6">
        <v>46436</v>
      </c>
      <c r="H1562" s="1" t="s">
        <v>31</v>
      </c>
      <c r="I1562" s="1" t="str">
        <f>IF(G1562&lt;=$K$1,"Pagado","Pendiente")</f>
        <v>Pendiente</v>
      </c>
    </row>
    <row r="1563" spans="1:9" hidden="1">
      <c r="A1563" s="2">
        <v>24214</v>
      </c>
      <c r="B1563" s="2">
        <v>17</v>
      </c>
      <c r="C1563" s="27">
        <v>2119809.67</v>
      </c>
      <c r="D1563" s="27">
        <v>8411287.9100000001</v>
      </c>
      <c r="E1563" s="27">
        <v>1010195.68</v>
      </c>
      <c r="F1563" s="25">
        <v>11541293.26</v>
      </c>
      <c r="G1563" s="6">
        <v>46464</v>
      </c>
      <c r="H1563" s="1" t="s">
        <v>31</v>
      </c>
      <c r="I1563" s="1" t="str">
        <f>IF(G1563&lt;=$K$1,"Pagado","Pendiente")</f>
        <v>Pendiente</v>
      </c>
    </row>
    <row r="1564" spans="1:9" hidden="1">
      <c r="A1564" s="2">
        <v>24214</v>
      </c>
      <c r="B1564" s="2">
        <v>18</v>
      </c>
      <c r="C1564" s="27">
        <v>2228704</v>
      </c>
      <c r="D1564" s="27">
        <v>8302393.5800000001</v>
      </c>
      <c r="E1564" s="27">
        <v>997117.47</v>
      </c>
      <c r="F1564" s="25">
        <v>11528215.050000001</v>
      </c>
      <c r="G1564" s="6">
        <v>46495</v>
      </c>
      <c r="H1564" s="1" t="s">
        <v>31</v>
      </c>
      <c r="I1564" s="1" t="str">
        <f>IF(G1564&lt;=$K$1,"Pagado","Pendiente")</f>
        <v>Pendiente</v>
      </c>
    </row>
    <row r="1565" spans="1:9" hidden="1">
      <c r="A1565" s="2">
        <v>24214</v>
      </c>
      <c r="B1565" s="2">
        <v>19</v>
      </c>
      <c r="C1565" s="27">
        <v>2343192.2200000002</v>
      </c>
      <c r="D1565" s="27">
        <v>8187905.3600000003</v>
      </c>
      <c r="E1565" s="27">
        <v>983367.43</v>
      </c>
      <c r="F1565" s="25">
        <v>11514465.01</v>
      </c>
      <c r="G1565" s="6">
        <v>46525</v>
      </c>
      <c r="H1565" s="1" t="s">
        <v>31</v>
      </c>
      <c r="I1565" s="1" t="str">
        <f>IF(G1565&lt;=$K$1,"Pagado","Pendiente")</f>
        <v>Pendiente</v>
      </c>
    </row>
    <row r="1566" spans="1:9" hidden="1">
      <c r="A1566" s="2">
        <v>24214</v>
      </c>
      <c r="B1566" s="2">
        <v>20</v>
      </c>
      <c r="C1566" s="27">
        <v>2463561.6800000002</v>
      </c>
      <c r="D1566" s="27">
        <v>8067535.9000000004</v>
      </c>
      <c r="E1566" s="27">
        <v>968911.06</v>
      </c>
      <c r="F1566" s="25">
        <v>11500008.640000001</v>
      </c>
      <c r="G1566" s="6">
        <v>46556</v>
      </c>
      <c r="H1566" s="1" t="s">
        <v>31</v>
      </c>
      <c r="I1566" s="1" t="str">
        <f>IF(G1566&lt;=$K$1,"Pagado","Pendiente")</f>
        <v>Pendiente</v>
      </c>
    </row>
    <row r="1567" spans="1:9" hidden="1">
      <c r="A1567" s="2">
        <v>24214</v>
      </c>
      <c r="B1567" s="2">
        <v>21</v>
      </c>
      <c r="C1567" s="27">
        <v>2590114.5099999998</v>
      </c>
      <c r="D1567" s="27">
        <v>7940983.0700000003</v>
      </c>
      <c r="E1567" s="27">
        <v>953712.07</v>
      </c>
      <c r="F1567" s="25">
        <v>11484809.65</v>
      </c>
      <c r="G1567" s="6">
        <v>46586</v>
      </c>
      <c r="H1567" s="1" t="s">
        <v>31</v>
      </c>
      <c r="I1567" s="1" t="str">
        <f>IF(G1567&lt;=$K$1,"Pagado","Pendiente")</f>
        <v>Pendiente</v>
      </c>
    </row>
    <row r="1568" spans="1:9" hidden="1">
      <c r="A1568" s="2">
        <v>24214</v>
      </c>
      <c r="B1568" s="2">
        <v>22</v>
      </c>
      <c r="C1568" s="27">
        <v>2723168.33</v>
      </c>
      <c r="D1568" s="27">
        <v>7807929.25</v>
      </c>
      <c r="E1568" s="27">
        <v>937732.3</v>
      </c>
      <c r="F1568" s="25">
        <v>11468829.880000001</v>
      </c>
      <c r="G1568" s="6">
        <v>46617</v>
      </c>
      <c r="H1568" s="1" t="s">
        <v>31</v>
      </c>
      <c r="I1568" s="1" t="str">
        <f>IF(G1568&lt;=$K$1,"Pagado","Pendiente")</f>
        <v>Pendiente</v>
      </c>
    </row>
    <row r="1569" spans="1:9" hidden="1">
      <c r="A1569" s="2">
        <v>24214</v>
      </c>
      <c r="B1569" s="2">
        <v>23</v>
      </c>
      <c r="C1569" s="27">
        <v>2863057.12</v>
      </c>
      <c r="D1569" s="27">
        <v>7668040.46</v>
      </c>
      <c r="E1569" s="27">
        <v>920931.66</v>
      </c>
      <c r="F1569" s="25">
        <v>11452029.24</v>
      </c>
      <c r="G1569" s="6">
        <v>46648</v>
      </c>
      <c r="H1569" s="1" t="s">
        <v>31</v>
      </c>
      <c r="I1569" s="1" t="str">
        <f>IF(G1569&lt;=$K$1,"Pagado","Pendiente")</f>
        <v>Pendiente</v>
      </c>
    </row>
    <row r="1570" spans="1:9" hidden="1">
      <c r="A1570" s="2">
        <v>24214</v>
      </c>
      <c r="B1570" s="2">
        <v>24</v>
      </c>
      <c r="C1570" s="27">
        <v>3010131.97</v>
      </c>
      <c r="D1570" s="27">
        <v>7520965.6100000003</v>
      </c>
      <c r="E1570" s="27">
        <v>903267.97</v>
      </c>
      <c r="F1570" s="25">
        <v>11434365.550000001</v>
      </c>
      <c r="G1570" s="6">
        <v>46678</v>
      </c>
      <c r="H1570" s="1" t="s">
        <v>31</v>
      </c>
      <c r="I1570" s="1" t="str">
        <f>IF(G1570&lt;=$K$1,"Pagado","Pendiente")</f>
        <v>Pendiente</v>
      </c>
    </row>
    <row r="1571" spans="1:9" hidden="1">
      <c r="A1571" s="2">
        <v>24214</v>
      </c>
      <c r="B1571" s="2">
        <v>25</v>
      </c>
      <c r="C1571" s="27">
        <v>3164762.04</v>
      </c>
      <c r="D1571" s="27">
        <v>7366335.54</v>
      </c>
      <c r="E1571" s="27">
        <v>884696.89</v>
      </c>
      <c r="F1571" s="25">
        <v>11415794.470000001</v>
      </c>
      <c r="G1571" s="6">
        <v>46709</v>
      </c>
      <c r="H1571" s="1" t="s">
        <v>31</v>
      </c>
      <c r="I1571" s="1" t="str">
        <f>IF(G1571&lt;=$K$1,"Pagado","Pendiente")</f>
        <v>Pendiente</v>
      </c>
    </row>
    <row r="1572" spans="1:9" hidden="1">
      <c r="A1572" s="2">
        <v>24214</v>
      </c>
      <c r="B1572" s="2">
        <v>26</v>
      </c>
      <c r="C1572" s="27">
        <v>3327335.43</v>
      </c>
      <c r="D1572" s="27">
        <v>7203762.1500000004</v>
      </c>
      <c r="E1572" s="27">
        <v>865171.84</v>
      </c>
      <c r="F1572" s="25">
        <v>11396269.42</v>
      </c>
      <c r="G1572" s="6">
        <v>46739</v>
      </c>
      <c r="H1572" s="1" t="s">
        <v>31</v>
      </c>
      <c r="I1572" s="1" t="str">
        <f>IF(G1572&lt;=$K$1,"Pagado","Pendiente")</f>
        <v>Pendiente</v>
      </c>
    </row>
    <row r="1573" spans="1:9" hidden="1">
      <c r="A1573" s="2">
        <v>24214</v>
      </c>
      <c r="B1573" s="2">
        <v>27</v>
      </c>
      <c r="C1573" s="27">
        <v>3498260.2</v>
      </c>
      <c r="D1573" s="27">
        <v>7032837.3799999999</v>
      </c>
      <c r="E1573" s="27">
        <v>844643.76</v>
      </c>
      <c r="F1573" s="25">
        <v>11375741.34</v>
      </c>
      <c r="G1573" s="6">
        <v>46770</v>
      </c>
      <c r="H1573" s="1" t="s">
        <v>31</v>
      </c>
      <c r="I1573" s="1" t="str">
        <f>IF(G1573&lt;=$K$1,"Pagado","Pendiente")</f>
        <v>Pendiente</v>
      </c>
    </row>
    <row r="1574" spans="1:9" hidden="1">
      <c r="A1574" s="2">
        <v>24214</v>
      </c>
      <c r="B1574" s="2">
        <v>28</v>
      </c>
      <c r="C1574" s="27">
        <v>3677965.34</v>
      </c>
      <c r="D1574" s="27">
        <v>6853132.2400000002</v>
      </c>
      <c r="E1574" s="27">
        <v>823061.18</v>
      </c>
      <c r="F1574" s="25">
        <v>11354158.76</v>
      </c>
      <c r="G1574" s="6">
        <v>46801</v>
      </c>
      <c r="H1574" s="1" t="s">
        <v>31</v>
      </c>
      <c r="I1574" s="1" t="str">
        <f>IF(G1574&lt;=$K$1,"Pagado","Pendiente")</f>
        <v>Pendiente</v>
      </c>
    </row>
    <row r="1575" spans="1:9" hidden="1">
      <c r="A1575" s="2">
        <v>24214</v>
      </c>
      <c r="B1575" s="2">
        <v>29</v>
      </c>
      <c r="C1575" s="27">
        <v>3866901.92</v>
      </c>
      <c r="D1575" s="27">
        <v>6664195.6600000001</v>
      </c>
      <c r="E1575" s="27">
        <v>800369.89</v>
      </c>
      <c r="F1575" s="25">
        <v>11331467.470000001</v>
      </c>
      <c r="G1575" s="6">
        <v>46830</v>
      </c>
      <c r="H1575" s="1" t="s">
        <v>31</v>
      </c>
      <c r="I1575" s="1" t="str">
        <f>IF(G1575&lt;=$K$1,"Pagado","Pendiente")</f>
        <v>Pendiente</v>
      </c>
    </row>
    <row r="1576" spans="1:9" hidden="1">
      <c r="A1576" s="2">
        <v>24214</v>
      </c>
      <c r="B1576" s="2">
        <v>30</v>
      </c>
      <c r="C1576" s="27">
        <v>4065544.14</v>
      </c>
      <c r="D1576" s="27">
        <v>6465553.4400000004</v>
      </c>
      <c r="E1576" s="27">
        <v>776512.97</v>
      </c>
      <c r="F1576" s="25">
        <v>11307610.550000001</v>
      </c>
      <c r="G1576" s="6">
        <v>46861</v>
      </c>
      <c r="H1576" s="1" t="s">
        <v>31</v>
      </c>
      <c r="I1576" s="1" t="str">
        <f>IF(G1576&lt;=$K$1,"Pagado","Pendiente")</f>
        <v>Pendiente</v>
      </c>
    </row>
    <row r="1577" spans="1:9" hidden="1">
      <c r="A1577" s="2">
        <v>24214</v>
      </c>
      <c r="B1577" s="2">
        <v>31</v>
      </c>
      <c r="C1577" s="27">
        <v>4274390.59</v>
      </c>
      <c r="D1577" s="27">
        <v>6256706.9900000002</v>
      </c>
      <c r="E1577" s="27">
        <v>751430.5</v>
      </c>
      <c r="F1577" s="25">
        <v>11282528.08</v>
      </c>
      <c r="G1577" s="6">
        <v>46891</v>
      </c>
      <c r="H1577" s="1" t="s">
        <v>31</v>
      </c>
      <c r="I1577" s="1" t="str">
        <f>IF(G1577&lt;=$K$1,"Pagado","Pendiente")</f>
        <v>Pendiente</v>
      </c>
    </row>
    <row r="1578" spans="1:9" hidden="1">
      <c r="A1578" s="2">
        <v>24214</v>
      </c>
      <c r="B1578" s="2">
        <v>32</v>
      </c>
      <c r="C1578" s="27">
        <v>4493965.4400000004</v>
      </c>
      <c r="D1578" s="27">
        <v>6037132.1399999997</v>
      </c>
      <c r="E1578" s="27">
        <v>725059.56</v>
      </c>
      <c r="F1578" s="25">
        <v>11256157.140000001</v>
      </c>
      <c r="G1578" s="6">
        <v>46922</v>
      </c>
      <c r="H1578" s="1" t="s">
        <v>31</v>
      </c>
      <c r="I1578" s="1" t="str">
        <f>IF(G1578&lt;=$K$1,"Pagado","Pendiente")</f>
        <v>Pendiente</v>
      </c>
    </row>
    <row r="1579" spans="1:9" hidden="1">
      <c r="A1579" s="2">
        <v>24214</v>
      </c>
      <c r="B1579" s="2">
        <v>33</v>
      </c>
      <c r="C1579" s="27">
        <v>4724819.83</v>
      </c>
      <c r="D1579" s="27">
        <v>5806277.75</v>
      </c>
      <c r="E1579" s="27">
        <v>697333.96</v>
      </c>
      <c r="F1579" s="25">
        <v>11228431.539999999</v>
      </c>
      <c r="G1579" s="6">
        <v>46952</v>
      </c>
      <c r="H1579" s="1" t="s">
        <v>31</v>
      </c>
      <c r="I1579" s="1" t="str">
        <f>IF(G1579&lt;=$K$1,"Pagado","Pendiente")</f>
        <v>Pendiente</v>
      </c>
    </row>
    <row r="1580" spans="1:9" hidden="1">
      <c r="A1580" s="2">
        <v>24214</v>
      </c>
      <c r="B1580" s="2">
        <v>34</v>
      </c>
      <c r="C1580" s="27">
        <v>4967533.18</v>
      </c>
      <c r="D1580" s="27">
        <v>5563564.4000000004</v>
      </c>
      <c r="E1580" s="27">
        <v>668184.09</v>
      </c>
      <c r="F1580" s="25">
        <v>11199281.67</v>
      </c>
      <c r="G1580" s="6">
        <v>46983</v>
      </c>
      <c r="H1580" s="1" t="s">
        <v>31</v>
      </c>
      <c r="I1580" s="1" t="str">
        <f>IF(G1580&lt;=$K$1,"Pagado","Pendiente")</f>
        <v>Pendiente</v>
      </c>
    </row>
    <row r="1581" spans="1:9" hidden="1">
      <c r="A1581" s="2">
        <v>24214</v>
      </c>
      <c r="B1581" s="2">
        <v>35</v>
      </c>
      <c r="C1581" s="27">
        <v>5222714.68</v>
      </c>
      <c r="D1581" s="27">
        <v>5308382.9000000004</v>
      </c>
      <c r="E1581" s="27">
        <v>637536.78</v>
      </c>
      <c r="F1581" s="25">
        <v>11168634.359999999</v>
      </c>
      <c r="G1581" s="6">
        <v>47014</v>
      </c>
      <c r="H1581" s="1" t="s">
        <v>31</v>
      </c>
      <c r="I1581" s="1" t="str">
        <f>IF(G1581&lt;=$K$1,"Pagado","Pendiente")</f>
        <v>Pendiente</v>
      </c>
    </row>
    <row r="1582" spans="1:9" hidden="1">
      <c r="A1582" s="2">
        <v>24214</v>
      </c>
      <c r="B1582" s="2">
        <v>36</v>
      </c>
      <c r="C1582" s="27">
        <v>5491004.8200000003</v>
      </c>
      <c r="D1582" s="27">
        <v>5040092.76</v>
      </c>
      <c r="E1582" s="27">
        <v>605315.14</v>
      </c>
      <c r="F1582" s="25">
        <v>11136412.720000001</v>
      </c>
      <c r="G1582" s="6">
        <v>47044</v>
      </c>
      <c r="H1582" s="1" t="s">
        <v>31</v>
      </c>
      <c r="I1582" s="1" t="str">
        <f>IF(G1582&lt;=$K$1,"Pagado","Pendiente")</f>
        <v>Pendiente</v>
      </c>
    </row>
    <row r="1583" spans="1:9" hidden="1">
      <c r="A1583" s="2">
        <v>24214</v>
      </c>
      <c r="B1583" s="2">
        <v>37</v>
      </c>
      <c r="C1583" s="27">
        <v>5773076.9800000004</v>
      </c>
      <c r="D1583" s="27">
        <v>4758020.5999999996</v>
      </c>
      <c r="E1583" s="27">
        <v>571438.27</v>
      </c>
      <c r="F1583" s="25">
        <v>11102535.85</v>
      </c>
      <c r="G1583" s="6">
        <v>47075</v>
      </c>
      <c r="H1583" s="1" t="s">
        <v>31</v>
      </c>
      <c r="I1583" s="1" t="str">
        <f>IF(G1583&lt;=$K$1,"Pagado","Pendiente")</f>
        <v>Pendiente</v>
      </c>
    </row>
    <row r="1584" spans="1:9" hidden="1">
      <c r="A1584" s="2">
        <v>24214</v>
      </c>
      <c r="B1584" s="2">
        <v>38</v>
      </c>
      <c r="C1584" s="27">
        <v>6069639.1600000001</v>
      </c>
      <c r="D1584" s="27">
        <v>4461458.42</v>
      </c>
      <c r="E1584" s="27">
        <v>535821.16</v>
      </c>
      <c r="F1584" s="25">
        <v>11066918.74</v>
      </c>
      <c r="G1584" s="6">
        <v>47105</v>
      </c>
      <c r="H1584" s="1" t="s">
        <v>31</v>
      </c>
      <c r="I1584" s="1" t="str">
        <f>IF(G1584&lt;=$K$1,"Pagado","Pendiente")</f>
        <v>Pendiente</v>
      </c>
    </row>
    <row r="1585" spans="1:9" hidden="1">
      <c r="A1585" s="2">
        <v>24214</v>
      </c>
      <c r="B1585" s="2">
        <v>39</v>
      </c>
      <c r="C1585" s="27">
        <v>6381435.6900000004</v>
      </c>
      <c r="D1585" s="27">
        <v>4149661.89</v>
      </c>
      <c r="E1585" s="27">
        <v>498374.40000000002</v>
      </c>
      <c r="F1585" s="25">
        <v>11029471.98</v>
      </c>
      <c r="G1585" s="6">
        <v>47136</v>
      </c>
      <c r="H1585" s="1" t="s">
        <v>31</v>
      </c>
      <c r="I1585" s="1" t="str">
        <f>IF(G1585&lt;=$K$1,"Pagado","Pendiente")</f>
        <v>Pendiente</v>
      </c>
    </row>
    <row r="1586" spans="1:9" hidden="1">
      <c r="A1586" s="2">
        <v>24214</v>
      </c>
      <c r="B1586" s="2">
        <v>40</v>
      </c>
      <c r="C1586" s="27">
        <v>6709249.1699999999</v>
      </c>
      <c r="D1586" s="27">
        <v>3821848.41</v>
      </c>
      <c r="E1586" s="27">
        <v>459003.99</v>
      </c>
      <c r="F1586" s="25">
        <v>10990101.57</v>
      </c>
      <c r="G1586" s="6">
        <v>47167</v>
      </c>
      <c r="H1586" s="1" t="s">
        <v>31</v>
      </c>
      <c r="I1586" s="1" t="str">
        <f>IF(G1586&lt;=$K$1,"Pagado","Pendiente")</f>
        <v>Pendiente</v>
      </c>
    </row>
    <row r="1587" spans="1:9" hidden="1">
      <c r="A1587" s="2">
        <v>24214</v>
      </c>
      <c r="B1587" s="2">
        <v>41</v>
      </c>
      <c r="C1587" s="27">
        <v>7053902.3799999999</v>
      </c>
      <c r="D1587" s="27">
        <v>3477195.2</v>
      </c>
      <c r="E1587" s="27">
        <v>417611.15</v>
      </c>
      <c r="F1587" s="25">
        <v>10948708.73</v>
      </c>
      <c r="G1587" s="6">
        <v>47195</v>
      </c>
      <c r="H1587" s="1" t="s">
        <v>31</v>
      </c>
      <c r="I1587" s="1" t="str">
        <f>IF(G1587&lt;=$K$1,"Pagado","Pendiente")</f>
        <v>Pendiente</v>
      </c>
    </row>
    <row r="1588" spans="1:9" hidden="1">
      <c r="A1588" s="2">
        <v>24214</v>
      </c>
      <c r="B1588" s="2">
        <v>42</v>
      </c>
      <c r="C1588" s="27">
        <v>7416260.3700000001</v>
      </c>
      <c r="D1588" s="27">
        <v>3114837.21</v>
      </c>
      <c r="E1588" s="27">
        <v>374091.95</v>
      </c>
      <c r="F1588" s="25">
        <v>10905189.529999999</v>
      </c>
      <c r="G1588" s="6">
        <v>47226</v>
      </c>
      <c r="H1588" s="1" t="s">
        <v>31</v>
      </c>
      <c r="I1588" s="1" t="str">
        <f>IF(G1588&lt;=$K$1,"Pagado","Pendiente")</f>
        <v>Pendiente</v>
      </c>
    </row>
    <row r="1589" spans="1:9" hidden="1">
      <c r="A1589" s="2">
        <v>24214</v>
      </c>
      <c r="B1589" s="2">
        <v>43</v>
      </c>
      <c r="C1589" s="27">
        <v>7797232.6500000004</v>
      </c>
      <c r="D1589" s="27">
        <v>2733864.93</v>
      </c>
      <c r="E1589" s="27">
        <v>328337.18</v>
      </c>
      <c r="F1589" s="25">
        <v>10859434.76</v>
      </c>
      <c r="G1589" s="6">
        <v>47256</v>
      </c>
      <c r="H1589" s="1" t="s">
        <v>31</v>
      </c>
      <c r="I1589" s="1" t="str">
        <f>IF(G1589&lt;=$K$1,"Pagado","Pendiente")</f>
        <v>Pendiente</v>
      </c>
    </row>
    <row r="1590" spans="1:9" hidden="1">
      <c r="A1590" s="2">
        <v>24214</v>
      </c>
      <c r="B1590" s="2">
        <v>44</v>
      </c>
      <c r="C1590" s="27">
        <v>8197775.4299999997</v>
      </c>
      <c r="D1590" s="27">
        <v>2333322.15</v>
      </c>
      <c r="E1590" s="27">
        <v>280231.99</v>
      </c>
      <c r="F1590" s="25">
        <v>10811329.57</v>
      </c>
      <c r="G1590" s="6">
        <v>47287</v>
      </c>
      <c r="H1590" s="1" t="s">
        <v>31</v>
      </c>
      <c r="I1590" s="1" t="str">
        <f>IF(G1590&lt;=$K$1,"Pagado","Pendiente")</f>
        <v>Pendiente</v>
      </c>
    </row>
    <row r="1591" spans="1:9" hidden="1">
      <c r="A1591" s="2">
        <v>24214</v>
      </c>
      <c r="B1591" s="2">
        <v>45</v>
      </c>
      <c r="C1591" s="27">
        <v>8618894.0299999993</v>
      </c>
      <c r="D1591" s="27">
        <v>1912203.55</v>
      </c>
      <c r="E1591" s="27">
        <v>229655.64</v>
      </c>
      <c r="F1591" s="25">
        <v>10760753.220000001</v>
      </c>
      <c r="G1591" s="6">
        <v>47317</v>
      </c>
      <c r="H1591" s="1" t="s">
        <v>31</v>
      </c>
      <c r="I1591" s="1" t="str">
        <f>IF(G1591&lt;=$K$1,"Pagado","Pendiente")</f>
        <v>Pendiente</v>
      </c>
    </row>
    <row r="1592" spans="1:9" hidden="1">
      <c r="A1592" s="2">
        <v>24214</v>
      </c>
      <c r="B1592" s="2">
        <v>46</v>
      </c>
      <c r="C1592" s="27">
        <v>9061645.4299999997</v>
      </c>
      <c r="D1592" s="27">
        <v>1469452.15</v>
      </c>
      <c r="E1592" s="27">
        <v>176481.21</v>
      </c>
      <c r="F1592" s="25">
        <v>10707578.790000001</v>
      </c>
      <c r="G1592" s="6">
        <v>47348</v>
      </c>
      <c r="H1592" s="1" t="s">
        <v>31</v>
      </c>
      <c r="I1592" s="1" t="str">
        <f>IF(G1592&lt;=$K$1,"Pagado","Pendiente")</f>
        <v>Pendiente</v>
      </c>
    </row>
    <row r="1593" spans="1:9" hidden="1">
      <c r="A1593" s="2">
        <v>24214</v>
      </c>
      <c r="B1593" s="2">
        <v>47</v>
      </c>
      <c r="C1593" s="27">
        <v>9527140.9199999999</v>
      </c>
      <c r="D1593" s="27">
        <v>1003956.66</v>
      </c>
      <c r="E1593" s="27">
        <v>120575.2</v>
      </c>
      <c r="F1593" s="25">
        <v>10651672.779999999</v>
      </c>
      <c r="G1593" s="6">
        <v>47379</v>
      </c>
      <c r="H1593" s="1" t="s">
        <v>31</v>
      </c>
      <c r="I1593" s="1" t="str">
        <f>IF(G1593&lt;=$K$1,"Pagado","Pendiente")</f>
        <v>Pendiente</v>
      </c>
    </row>
    <row r="1594" spans="1:9" hidden="1">
      <c r="A1594" s="2">
        <v>24214</v>
      </c>
      <c r="B1594" s="2">
        <v>48</v>
      </c>
      <c r="C1594" s="27">
        <v>10016548.779999999</v>
      </c>
      <c r="D1594" s="27">
        <v>514548.74</v>
      </c>
      <c r="E1594" s="27">
        <v>61797.3</v>
      </c>
      <c r="F1594" s="25">
        <v>10592894.82</v>
      </c>
      <c r="G1594" s="6">
        <v>47409</v>
      </c>
      <c r="H1594" s="1" t="s">
        <v>31</v>
      </c>
      <c r="I1594" s="1" t="str">
        <f>IF(G1594&lt;=$K$1,"Pagado","Pendiente")</f>
        <v>Pendiente</v>
      </c>
    </row>
    <row r="1595" spans="1:9" hidden="1">
      <c r="A1595" s="31">
        <v>272635</v>
      </c>
      <c r="B1595" s="2">
        <v>1</v>
      </c>
      <c r="C1595" s="8">
        <v>1810622.618158102</v>
      </c>
      <c r="D1595" s="8">
        <v>13750000</v>
      </c>
      <c r="E1595" s="8">
        <v>1650000</v>
      </c>
      <c r="F1595" s="8">
        <v>17210622.618158102</v>
      </c>
      <c r="G1595" s="7">
        <v>45968</v>
      </c>
      <c r="H1595" s="1" t="s">
        <v>30</v>
      </c>
      <c r="I1595" s="1" t="str">
        <f>IF(G1595&lt;=$K$1,"Pagado","Pendiente")</f>
        <v>Pagado</v>
      </c>
    </row>
    <row r="1596" spans="1:9" hidden="1">
      <c r="A1596" s="31">
        <v>272635</v>
      </c>
      <c r="B1596" s="2">
        <v>2</v>
      </c>
      <c r="C1596" s="8">
        <v>1893609.4881570153</v>
      </c>
      <c r="D1596" s="8">
        <v>13667013.130001087</v>
      </c>
      <c r="E1596" s="8">
        <v>1640041.5756001305</v>
      </c>
      <c r="F1596" s="8">
        <v>17200664.193758234</v>
      </c>
      <c r="G1596" s="7">
        <v>45998</v>
      </c>
      <c r="H1596" s="1" t="s">
        <v>30</v>
      </c>
      <c r="I1596" s="1" t="str">
        <f>IF(G1596&lt;=$K$1,"Pagado","Pendiente")</f>
        <v>Pagado</v>
      </c>
    </row>
    <row r="1597" spans="1:9" hidden="1">
      <c r="A1597" s="31">
        <v>272635</v>
      </c>
      <c r="B1597" s="2">
        <v>3</v>
      </c>
      <c r="C1597" s="8">
        <v>1980399.9230308793</v>
      </c>
      <c r="D1597" s="8">
        <v>13580222.695127223</v>
      </c>
      <c r="E1597" s="8">
        <v>1629626.7234152667</v>
      </c>
      <c r="F1597" s="8">
        <v>17190249.341573369</v>
      </c>
      <c r="G1597" s="7">
        <v>46027</v>
      </c>
      <c r="H1597" s="1" t="s">
        <v>30</v>
      </c>
      <c r="I1597" s="1" t="str">
        <f>IF(G1597&lt;=$K$1,"Pagado","Pendiente")</f>
        <v>Pagado</v>
      </c>
    </row>
    <row r="1598" spans="1:9" hidden="1">
      <c r="A1598" s="31">
        <v>272635</v>
      </c>
      <c r="B1598" s="2">
        <v>4</v>
      </c>
      <c r="C1598" s="8">
        <v>2071168.2528364602</v>
      </c>
      <c r="D1598" s="8">
        <v>13489454.365321642</v>
      </c>
      <c r="E1598" s="8">
        <v>1618734.5238385971</v>
      </c>
      <c r="F1598" s="8">
        <v>17179357.1419967</v>
      </c>
      <c r="G1598" s="7">
        <v>46056</v>
      </c>
      <c r="H1598" s="1" t="s">
        <v>30</v>
      </c>
      <c r="I1598" s="1" t="str">
        <f>IF(G1598&lt;=$K$1,"Pagado","Pendiente")</f>
        <v>Pagado</v>
      </c>
    </row>
    <row r="1599" spans="1:9" hidden="1">
      <c r="A1599" s="31">
        <v>272635</v>
      </c>
      <c r="B1599" s="2">
        <v>5</v>
      </c>
      <c r="C1599" s="8">
        <v>2166096.7977581304</v>
      </c>
      <c r="D1599" s="8">
        <v>13394525.820399972</v>
      </c>
      <c r="E1599" s="8">
        <v>1607343.0984479967</v>
      </c>
      <c r="F1599" s="8">
        <v>17167965.716606099</v>
      </c>
      <c r="G1599" s="7">
        <v>46084</v>
      </c>
      <c r="H1599" s="1" t="s">
        <v>30</v>
      </c>
      <c r="I1599" s="1" t="str">
        <f>IF(G1599&lt;=$K$1,"Pagado","Pendiente")</f>
        <v>Pagado</v>
      </c>
    </row>
    <row r="1600" spans="1:9" hidden="1">
      <c r="A1600" s="31">
        <v>272635</v>
      </c>
      <c r="B1600" s="2">
        <v>6</v>
      </c>
      <c r="C1600" s="8">
        <v>2265376.234322045</v>
      </c>
      <c r="D1600" s="8">
        <v>13295246.383836057</v>
      </c>
      <c r="E1600" s="8">
        <v>1595429.5660603268</v>
      </c>
      <c r="F1600" s="8">
        <v>17156052.184218429</v>
      </c>
      <c r="G1600" s="7">
        <v>46119</v>
      </c>
      <c r="H1600" s="1" t="s">
        <v>30</v>
      </c>
      <c r="I1600" s="1" t="str">
        <f>IF(G1600&lt;=$K$1,"Pagado","Pendiente")</f>
        <v>Pagado</v>
      </c>
    </row>
    <row r="1601" spans="1:9">
      <c r="A1601" s="2">
        <v>885417900</v>
      </c>
      <c r="B1601" s="2">
        <v>14</v>
      </c>
      <c r="C1601" s="8">
        <v>27777777.777777776</v>
      </c>
      <c r="D1601" s="8">
        <v>4245370.3703703647</v>
      </c>
      <c r="E1601" s="8">
        <v>509444.4444444438</v>
      </c>
      <c r="F1601" s="8">
        <v>32532592.592592586</v>
      </c>
      <c r="G1601" s="7">
        <v>46170</v>
      </c>
      <c r="H1601" s="1" t="s">
        <v>24</v>
      </c>
      <c r="I1601" s="1" t="str">
        <f>IF(G1601&lt;=$K$1,"Pagado","Pendiente")</f>
        <v>Pendiente</v>
      </c>
    </row>
    <row r="1602" spans="1:9" hidden="1">
      <c r="A1602" s="31">
        <v>272635</v>
      </c>
      <c r="B1602" s="2">
        <v>8</v>
      </c>
      <c r="C1602" s="8">
        <v>2477794.585738251</v>
      </c>
      <c r="D1602" s="8">
        <v>13082828.032419851</v>
      </c>
      <c r="E1602" s="8">
        <v>1569939.3638903822</v>
      </c>
      <c r="F1602" s="8">
        <v>17130561.982048485</v>
      </c>
      <c r="G1602" s="7">
        <v>46180</v>
      </c>
      <c r="H1602" s="1" t="s">
        <v>30</v>
      </c>
      <c r="I1602" s="1" t="str">
        <f>IF(G1602&lt;=$K$1,"Pagado","Pendiente")</f>
        <v>Pendiente</v>
      </c>
    </row>
    <row r="1603" spans="1:9" hidden="1">
      <c r="A1603" s="31">
        <v>272635</v>
      </c>
      <c r="B1603" s="2">
        <v>9</v>
      </c>
      <c r="C1603" s="8">
        <v>2591360.1709179208</v>
      </c>
      <c r="D1603" s="8">
        <v>12969262.447240181</v>
      </c>
      <c r="E1603" s="8">
        <v>1556311.4936688216</v>
      </c>
      <c r="F1603" s="8">
        <v>17116934.111826923</v>
      </c>
      <c r="G1603" s="7">
        <v>46210</v>
      </c>
      <c r="H1603" s="1" t="s">
        <v>30</v>
      </c>
      <c r="I1603" s="1" t="str">
        <f>IF(G1603&lt;=$K$1,"Pagado","Pendiente")</f>
        <v>Pendiente</v>
      </c>
    </row>
    <row r="1604" spans="1:9" hidden="1">
      <c r="A1604" s="31">
        <v>272635</v>
      </c>
      <c r="B1604" s="2">
        <v>10</v>
      </c>
      <c r="C1604" s="8">
        <v>2710130.8454183247</v>
      </c>
      <c r="D1604" s="8">
        <v>12850491.772739777</v>
      </c>
      <c r="E1604" s="8">
        <v>1542059.0127287733</v>
      </c>
      <c r="F1604" s="8">
        <v>17102681.630886875</v>
      </c>
      <c r="G1604" s="7">
        <v>46241</v>
      </c>
      <c r="H1604" s="1" t="s">
        <v>30</v>
      </c>
      <c r="I1604" s="1" t="str">
        <f>IF(G1604&lt;=$K$1,"Pagado","Pendiente")</f>
        <v>Pendiente</v>
      </c>
    </row>
    <row r="1605" spans="1:9" hidden="1">
      <c r="A1605" s="31">
        <v>272635</v>
      </c>
      <c r="B1605" s="2">
        <v>11</v>
      </c>
      <c r="C1605" s="8">
        <v>2834345.1758333314</v>
      </c>
      <c r="D1605" s="8">
        <v>12726277.442324771</v>
      </c>
      <c r="E1605" s="8">
        <v>1527153.2930789725</v>
      </c>
      <c r="F1605" s="8">
        <v>17087775.911237076</v>
      </c>
      <c r="G1605" s="7">
        <v>46272</v>
      </c>
      <c r="H1605" s="1" t="s">
        <v>30</v>
      </c>
      <c r="I1605" s="1" t="str">
        <f>IF(G1605&lt;=$K$1,"Pagado","Pendiente")</f>
        <v>Pendiente</v>
      </c>
    </row>
    <row r="1606" spans="1:9" hidden="1">
      <c r="A1606" s="31">
        <v>272635</v>
      </c>
      <c r="B1606" s="2">
        <v>12</v>
      </c>
      <c r="C1606" s="8">
        <v>2964252.6630590279</v>
      </c>
      <c r="D1606" s="8">
        <v>12596369.955099074</v>
      </c>
      <c r="E1606" s="8">
        <v>1511564.3946118888</v>
      </c>
      <c r="F1606" s="8">
        <v>17072187.01276999</v>
      </c>
      <c r="G1606" s="7">
        <v>46302</v>
      </c>
      <c r="H1606" s="1" t="s">
        <v>30</v>
      </c>
      <c r="I1606" s="1" t="str">
        <f>IF(G1606&lt;=$K$1,"Pagado","Pendiente")</f>
        <v>Pendiente</v>
      </c>
    </row>
    <row r="1607" spans="1:9" hidden="1">
      <c r="A1607" s="31">
        <v>272635</v>
      </c>
      <c r="B1607" s="2">
        <v>13</v>
      </c>
      <c r="C1607" s="8">
        <v>3100114.2434492335</v>
      </c>
      <c r="D1607" s="8">
        <v>12460508.374708869</v>
      </c>
      <c r="E1607" s="8">
        <v>1495261.0049650641</v>
      </c>
      <c r="F1607" s="8">
        <v>17055883.623123165</v>
      </c>
      <c r="G1607" s="7">
        <v>46333</v>
      </c>
      <c r="H1607" s="1" t="s">
        <v>30</v>
      </c>
      <c r="I1607" s="1" t="str">
        <f>IF(G1607&lt;=$K$1,"Pagado","Pendiente")</f>
        <v>Pendiente</v>
      </c>
    </row>
    <row r="1608" spans="1:9" hidden="1">
      <c r="A1608" s="31">
        <v>272635</v>
      </c>
      <c r="B1608" s="2">
        <v>14</v>
      </c>
      <c r="C1608" s="8">
        <v>3242202.8129406553</v>
      </c>
      <c r="D1608" s="8">
        <v>12318419.805217447</v>
      </c>
      <c r="E1608" s="8">
        <v>1478210.3766260936</v>
      </c>
      <c r="F1608" s="8">
        <v>17038832.994784195</v>
      </c>
      <c r="G1608" s="7">
        <v>46363</v>
      </c>
      <c r="H1608" s="1" t="s">
        <v>30</v>
      </c>
      <c r="I1608" s="1" t="str">
        <f>IF(G1608&lt;=$K$1,"Pagado","Pendiente")</f>
        <v>Pendiente</v>
      </c>
    </row>
    <row r="1609" spans="1:9" hidden="1">
      <c r="A1609" s="31">
        <v>272635</v>
      </c>
      <c r="B1609" s="2">
        <v>15</v>
      </c>
      <c r="C1609" s="8">
        <v>3390803.7752004359</v>
      </c>
      <c r="D1609" s="8">
        <v>12169818.842957666</v>
      </c>
      <c r="E1609" s="8">
        <v>1460378.2611549199</v>
      </c>
      <c r="F1609" s="8">
        <v>17021000.879313022</v>
      </c>
      <c r="G1609" s="7">
        <v>46394</v>
      </c>
      <c r="H1609" s="1" t="s">
        <v>30</v>
      </c>
      <c r="I1609" s="1" t="str">
        <f>IF(G1609&lt;=$K$1,"Pagado","Pendiente")</f>
        <v>Pendiente</v>
      </c>
    </row>
    <row r="1610" spans="1:9" hidden="1">
      <c r="A1610" s="31">
        <v>272635</v>
      </c>
      <c r="B1610" s="2">
        <v>16</v>
      </c>
      <c r="C1610" s="8">
        <v>3546215.6148971226</v>
      </c>
      <c r="D1610" s="8">
        <v>12014407.003260979</v>
      </c>
      <c r="E1610" s="8">
        <v>1441728.8403913176</v>
      </c>
      <c r="F1610" s="8">
        <v>17002351.458549421</v>
      </c>
      <c r="G1610" s="7">
        <v>46425</v>
      </c>
      <c r="H1610" s="1" t="s">
        <v>30</v>
      </c>
      <c r="I1610" s="1" t="str">
        <f>IF(G1610&lt;=$K$1,"Pagado","Pendiente")</f>
        <v>Pendiente</v>
      </c>
    </row>
    <row r="1611" spans="1:9" hidden="1">
      <c r="A1611" s="31">
        <v>272635</v>
      </c>
      <c r="B1611" s="2">
        <v>17</v>
      </c>
      <c r="C1611" s="8">
        <v>3708750.4972465746</v>
      </c>
      <c r="D1611" s="8">
        <v>11851872.120911527</v>
      </c>
      <c r="E1611" s="8">
        <v>1422224.6545093833</v>
      </c>
      <c r="F1611" s="8">
        <v>16982847.272667486</v>
      </c>
      <c r="G1611" s="7">
        <v>46453</v>
      </c>
      <c r="H1611" s="1" t="s">
        <v>30</v>
      </c>
      <c r="I1611" s="1" t="str">
        <f>IF(G1611&lt;=$K$1,"Pagado","Pendiente")</f>
        <v>Pendiente</v>
      </c>
    </row>
    <row r="1612" spans="1:9" hidden="1">
      <c r="A1612" s="31">
        <v>272635</v>
      </c>
      <c r="B1612" s="2">
        <v>18</v>
      </c>
      <c r="C1612" s="8">
        <v>3878734.895037042</v>
      </c>
      <c r="D1612" s="8">
        <v>11681887.72312106</v>
      </c>
      <c r="E1612" s="8">
        <v>1401826.5267745273</v>
      </c>
      <c r="F1612" s="8">
        <v>16962449.144932628</v>
      </c>
      <c r="G1612" s="7">
        <v>46484</v>
      </c>
      <c r="H1612" s="1" t="s">
        <v>30</v>
      </c>
      <c r="I1612" s="1" t="str">
        <f>IF(G1612&lt;=$K$1,"Pagado","Pendiente")</f>
        <v>Pendiente</v>
      </c>
    </row>
    <row r="1613" spans="1:9" hidden="1">
      <c r="A1613" s="31">
        <v>272635</v>
      </c>
      <c r="B1613" s="2">
        <v>19</v>
      </c>
      <c r="C1613" s="8">
        <v>4056510.2443929072</v>
      </c>
      <c r="D1613" s="8">
        <v>11504112.373765195</v>
      </c>
      <c r="E1613" s="8">
        <v>1380493.4848518234</v>
      </c>
      <c r="F1613" s="8">
        <v>16941116.103009924</v>
      </c>
      <c r="G1613" s="7">
        <v>46514</v>
      </c>
      <c r="H1613" s="1" t="s">
        <v>30</v>
      </c>
      <c r="I1613" s="1" t="str">
        <f>IF(G1613&lt;=$K$1,"Pagado","Pendiente")</f>
        <v>Pendiente</v>
      </c>
    </row>
    <row r="1614" spans="1:9" hidden="1">
      <c r="A1614" s="31">
        <v>272635</v>
      </c>
      <c r="B1614" s="2">
        <v>20</v>
      </c>
      <c r="C1614" s="8">
        <v>4242433.630594248</v>
      </c>
      <c r="D1614" s="8">
        <v>11318188.987563854</v>
      </c>
      <c r="E1614" s="8">
        <v>1358182.6785076624</v>
      </c>
      <c r="F1614" s="8">
        <v>16918805.296665765</v>
      </c>
      <c r="G1614" s="7">
        <v>46545</v>
      </c>
      <c r="H1614" s="1" t="s">
        <v>30</v>
      </c>
      <c r="I1614" s="1" t="str">
        <f>IF(G1614&lt;=$K$1,"Pagado","Pendiente")</f>
        <v>Pendiente</v>
      </c>
    </row>
    <row r="1615" spans="1:9" hidden="1">
      <c r="A1615" s="31">
        <v>272635</v>
      </c>
      <c r="B1615" s="2">
        <v>21</v>
      </c>
      <c r="C1615" s="8">
        <v>4436878.5053298175</v>
      </c>
      <c r="D1615" s="8">
        <v>11123744.112828285</v>
      </c>
      <c r="E1615" s="8">
        <v>1334849.2935393942</v>
      </c>
      <c r="F1615" s="8">
        <v>16895471.911697496</v>
      </c>
      <c r="G1615" s="7">
        <v>46575</v>
      </c>
      <c r="H1615" s="1" t="s">
        <v>30</v>
      </c>
      <c r="I1615" s="1" t="str">
        <f>IF(G1615&lt;=$K$1,"Pagado","Pendiente")</f>
        <v>Pendiente</v>
      </c>
    </row>
    <row r="1616" spans="1:9" hidden="1">
      <c r="A1616" s="31">
        <v>272635</v>
      </c>
      <c r="B1616" s="2">
        <v>22</v>
      </c>
      <c r="C1616" s="8">
        <v>4640235.436824102</v>
      </c>
      <c r="D1616" s="8">
        <v>10920387.181334</v>
      </c>
      <c r="E1616" s="8">
        <v>1310446.46176008</v>
      </c>
      <c r="F1616" s="8">
        <v>16871069.079918183</v>
      </c>
      <c r="G1616" s="7">
        <v>46606</v>
      </c>
      <c r="H1616" s="1" t="s">
        <v>30</v>
      </c>
      <c r="I1616" s="1" t="str">
        <f>IF(G1616&lt;=$K$1,"Pagado","Pendiente")</f>
        <v>Pendiente</v>
      </c>
    </row>
    <row r="1617" spans="1:9" hidden="1">
      <c r="A1617" s="31">
        <v>272635</v>
      </c>
      <c r="B1617" s="2">
        <v>23</v>
      </c>
      <c r="C1617" s="8">
        <v>4852912.8943452071</v>
      </c>
      <c r="D1617" s="8">
        <v>10707709.723812895</v>
      </c>
      <c r="E1617" s="8">
        <v>1284925.1668575474</v>
      </c>
      <c r="F1617" s="8">
        <v>16845547.78501565</v>
      </c>
      <c r="G1617" s="7">
        <v>46637</v>
      </c>
      <c r="H1617" s="1" t="s">
        <v>30</v>
      </c>
      <c r="I1617" s="1" t="str">
        <f>IF(G1617&lt;=$K$1,"Pagado","Pendiente")</f>
        <v>Pendiente</v>
      </c>
    </row>
    <row r="1618" spans="1:9" hidden="1">
      <c r="A1618" s="31">
        <v>272635</v>
      </c>
      <c r="B1618" s="2">
        <v>24</v>
      </c>
      <c r="C1618" s="8">
        <v>5075338.068669362</v>
      </c>
      <c r="D1618" s="8">
        <v>10485284.54948874</v>
      </c>
      <c r="E1618" s="8">
        <v>1258234.1459386488</v>
      </c>
      <c r="F1618" s="8">
        <v>16818856.764096752</v>
      </c>
      <c r="G1618" s="7">
        <v>46667</v>
      </c>
      <c r="H1618" s="1" t="s">
        <v>30</v>
      </c>
      <c r="I1618" s="1" t="str">
        <f>IF(G1618&lt;=$K$1,"Pagado","Pendiente")</f>
        <v>Pendiente</v>
      </c>
    </row>
    <row r="1619" spans="1:9" hidden="1">
      <c r="A1619" s="31">
        <v>272635</v>
      </c>
      <c r="B1619" s="2">
        <v>25</v>
      </c>
      <c r="C1619" s="8">
        <v>5307957.7301500402</v>
      </c>
      <c r="D1619" s="8">
        <v>10252664.888008062</v>
      </c>
      <c r="E1619" s="8">
        <v>1230319.7865609673</v>
      </c>
      <c r="F1619" s="8">
        <v>16790942.40471907</v>
      </c>
      <c r="G1619" s="7">
        <v>46698</v>
      </c>
      <c r="H1619" s="1" t="s">
        <v>30</v>
      </c>
      <c r="I1619" s="1" t="str">
        <f>IF(G1619&lt;=$K$1,"Pagado","Pendiente")</f>
        <v>Pendiente</v>
      </c>
    </row>
    <row r="1620" spans="1:9" hidden="1">
      <c r="A1620" s="31">
        <v>272635</v>
      </c>
      <c r="B1620" s="2">
        <v>26</v>
      </c>
      <c r="C1620" s="8">
        <v>5551239.1261152495</v>
      </c>
      <c r="D1620" s="8">
        <v>10009383.492042853</v>
      </c>
      <c r="E1620" s="8">
        <v>1201126.0190451422</v>
      </c>
      <c r="F1620" s="8">
        <v>16761748.637203244</v>
      </c>
      <c r="G1620" s="7">
        <v>46728</v>
      </c>
      <c r="H1620" s="1" t="s">
        <v>30</v>
      </c>
      <c r="I1620" s="1" t="str">
        <f>IF(G1620&lt;=$K$1,"Pagado","Pendiente")</f>
        <v>Pendiente</v>
      </c>
    </row>
    <row r="1621" spans="1:9" hidden="1">
      <c r="A1621" s="31">
        <v>272635</v>
      </c>
      <c r="B1621" s="2">
        <v>27</v>
      </c>
      <c r="C1621" s="8">
        <v>5805670.9193955325</v>
      </c>
      <c r="D1621" s="8">
        <v>9754951.6987625696</v>
      </c>
      <c r="E1621" s="8">
        <v>1170594.2038515084</v>
      </c>
      <c r="F1621" s="8">
        <v>16731216.82200961</v>
      </c>
      <c r="G1621" s="7">
        <v>46759</v>
      </c>
      <c r="H1621" s="1" t="s">
        <v>30</v>
      </c>
      <c r="I1621" s="1" t="str">
        <f>IF(G1621&lt;=$K$1,"Pagado","Pendiente")</f>
        <v>Pendiente</v>
      </c>
    </row>
    <row r="1622" spans="1:9" hidden="1">
      <c r="A1622" s="31">
        <v>272635</v>
      </c>
      <c r="B1622" s="2">
        <v>28</v>
      </c>
      <c r="C1622" s="8">
        <v>6071764.1698678285</v>
      </c>
      <c r="D1622" s="8">
        <v>9488858.4482902735</v>
      </c>
      <c r="E1622" s="8">
        <v>1138663.0137948329</v>
      </c>
      <c r="F1622" s="8">
        <v>16699285.631952934</v>
      </c>
      <c r="G1622" s="7">
        <v>46790</v>
      </c>
      <c r="H1622" s="1" t="s">
        <v>30</v>
      </c>
      <c r="I1622" s="1" t="str">
        <f>IF(G1622&lt;=$K$1,"Pagado","Pendiente")</f>
        <v>Pendiente</v>
      </c>
    </row>
    <row r="1623" spans="1:9" hidden="1">
      <c r="A1623" s="31">
        <v>272635</v>
      </c>
      <c r="B1623" s="2">
        <v>29</v>
      </c>
      <c r="C1623" s="8">
        <v>6350053.3609867692</v>
      </c>
      <c r="D1623" s="8">
        <v>9210569.2571713328</v>
      </c>
      <c r="E1623" s="8">
        <v>1105268.31086056</v>
      </c>
      <c r="F1623" s="8">
        <v>16665890.929018661</v>
      </c>
      <c r="G1623" s="7">
        <v>46819</v>
      </c>
      <c r="H1623" s="1" t="s">
        <v>30</v>
      </c>
      <c r="I1623" s="1" t="str">
        <f>IF(G1623&lt;=$K$1,"Pagado","Pendiente")</f>
        <v>Pendiente</v>
      </c>
    </row>
    <row r="1624" spans="1:9" hidden="1">
      <c r="A1624" s="31">
        <v>272635</v>
      </c>
      <c r="B1624" s="2">
        <v>30</v>
      </c>
      <c r="C1624" s="8">
        <v>6641097.4733653311</v>
      </c>
      <c r="D1624" s="8">
        <v>8919525.144792771</v>
      </c>
      <c r="E1624" s="8">
        <v>1070343.0173751325</v>
      </c>
      <c r="F1624" s="8">
        <v>16630965.635533234</v>
      </c>
      <c r="G1624" s="7">
        <v>46850</v>
      </c>
      <c r="H1624" s="1" t="s">
        <v>30</v>
      </c>
      <c r="I1624" s="1" t="str">
        <f>IF(G1624&lt;=$K$1,"Pagado","Pendiente")</f>
        <v>Pendiente</v>
      </c>
    </row>
    <row r="1625" spans="1:9" hidden="1">
      <c r="A1625" s="31">
        <v>272635</v>
      </c>
      <c r="B1625" s="2">
        <v>31</v>
      </c>
      <c r="C1625" s="8">
        <v>6945481.1075612418</v>
      </c>
      <c r="D1625" s="8">
        <v>8615141.5105968602</v>
      </c>
      <c r="E1625" s="8">
        <v>1033816.9812716232</v>
      </c>
      <c r="F1625" s="8">
        <v>16594439.599429725</v>
      </c>
      <c r="G1625" s="7">
        <v>46880</v>
      </c>
      <c r="H1625" s="1" t="s">
        <v>30</v>
      </c>
      <c r="I1625" s="1" t="str">
        <f>IF(G1625&lt;=$K$1,"Pagado","Pendiente")</f>
        <v>Pendiente</v>
      </c>
    </row>
    <row r="1626" spans="1:9" hidden="1">
      <c r="A1626" s="31">
        <v>272635</v>
      </c>
      <c r="B1626" s="2">
        <v>32</v>
      </c>
      <c r="C1626" s="8">
        <v>7263815.6583244642</v>
      </c>
      <c r="D1626" s="8">
        <v>8296806.9598336378</v>
      </c>
      <c r="E1626" s="8">
        <v>995616.83518003649</v>
      </c>
      <c r="F1626" s="8">
        <v>16556239.453338139</v>
      </c>
      <c r="G1626" s="7">
        <v>46911</v>
      </c>
      <c r="H1626" s="1" t="s">
        <v>30</v>
      </c>
      <c r="I1626" s="1" t="str">
        <f>IF(G1626&lt;=$K$1,"Pagado","Pendiente")</f>
        <v>Pendiente</v>
      </c>
    </row>
    <row r="1627" spans="1:9" hidden="1">
      <c r="A1627" s="31">
        <v>272635</v>
      </c>
      <c r="B1627" s="2">
        <v>33</v>
      </c>
      <c r="C1627" s="8">
        <v>7596740.5426643351</v>
      </c>
      <c r="D1627" s="8">
        <v>7963882.0754937669</v>
      </c>
      <c r="E1627" s="8">
        <v>955665.84905925207</v>
      </c>
      <c r="F1627" s="8">
        <v>16516288.467217354</v>
      </c>
      <c r="G1627" s="7">
        <v>46941</v>
      </c>
      <c r="H1627" s="1" t="s">
        <v>30</v>
      </c>
      <c r="I1627" s="1" t="str">
        <f>IF(G1627&lt;=$K$1,"Pagado","Pendiente")</f>
        <v>Pendiente</v>
      </c>
    </row>
    <row r="1628" spans="1:9" hidden="1">
      <c r="A1628" s="31">
        <v>272635</v>
      </c>
      <c r="B1628" s="2">
        <v>34</v>
      </c>
      <c r="C1628" s="8">
        <v>7944924.4842031179</v>
      </c>
      <c r="D1628" s="8">
        <v>7615698.1339549841</v>
      </c>
      <c r="E1628" s="8">
        <v>913883.77607459808</v>
      </c>
      <c r="F1628" s="8">
        <v>16474506.3942327</v>
      </c>
      <c r="G1628" s="7">
        <v>46972</v>
      </c>
      <c r="H1628" s="1" t="s">
        <v>30</v>
      </c>
      <c r="I1628" s="1" t="str">
        <f>IF(G1628&lt;=$K$1,"Pagado","Pendiente")</f>
        <v>Pendiente</v>
      </c>
    </row>
    <row r="1629" spans="1:9" hidden="1">
      <c r="A1629" s="31">
        <v>272635</v>
      </c>
      <c r="B1629" s="2">
        <v>35</v>
      </c>
      <c r="C1629" s="8">
        <v>8309066.8563957615</v>
      </c>
      <c r="D1629" s="8">
        <v>7251555.7617623406</v>
      </c>
      <c r="E1629" s="8">
        <v>870186.69141148089</v>
      </c>
      <c r="F1629" s="8">
        <v>16430809.309569582</v>
      </c>
      <c r="G1629" s="7">
        <v>47003</v>
      </c>
      <c r="H1629" s="1" t="s">
        <v>30</v>
      </c>
      <c r="I1629" s="1" t="str">
        <f>IF(G1629&lt;=$K$1,"Pagado","Pendiente")</f>
        <v>Pendiente</v>
      </c>
    </row>
    <row r="1630" spans="1:9" hidden="1">
      <c r="A1630" s="31">
        <v>272635</v>
      </c>
      <c r="B1630" s="2">
        <v>36</v>
      </c>
      <c r="C1630" s="8">
        <v>8689899.0873138998</v>
      </c>
      <c r="D1630" s="8">
        <v>6870723.5308442023</v>
      </c>
      <c r="E1630" s="8">
        <v>824486.82370130427</v>
      </c>
      <c r="F1630" s="8">
        <v>16385109.441859405</v>
      </c>
      <c r="G1630" s="7">
        <v>47033</v>
      </c>
      <c r="H1630" s="1" t="s">
        <v>30</v>
      </c>
      <c r="I1630" s="1" t="str">
        <f>IF(G1630&lt;=$K$1,"Pagado","Pendiente")</f>
        <v>Pendiente</v>
      </c>
    </row>
    <row r="1631" spans="1:9" hidden="1">
      <c r="A1631" s="31">
        <v>272635</v>
      </c>
      <c r="B1631" s="2">
        <v>37</v>
      </c>
      <c r="C1631" s="8">
        <v>9088186.1288157869</v>
      </c>
      <c r="D1631" s="8">
        <v>6472436.4893423151</v>
      </c>
      <c r="E1631" s="8">
        <v>776692.37872107781</v>
      </c>
      <c r="F1631" s="8">
        <v>16337314.996879179</v>
      </c>
      <c r="G1631" s="7">
        <v>47064</v>
      </c>
      <c r="H1631" s="1" t="s">
        <v>30</v>
      </c>
      <c r="I1631" s="1" t="str">
        <f>IF(G1631&lt;=$K$1,"Pagado","Pendiente")</f>
        <v>Pendiente</v>
      </c>
    </row>
    <row r="1632" spans="1:9" hidden="1">
      <c r="A1632" s="31">
        <v>272635</v>
      </c>
      <c r="B1632" s="2">
        <v>38</v>
      </c>
      <c r="C1632" s="8">
        <v>9504727.9930531755</v>
      </c>
      <c r="D1632" s="8">
        <v>6055894.6251049256</v>
      </c>
      <c r="E1632" s="8">
        <v>726707.35501259111</v>
      </c>
      <c r="F1632" s="8">
        <v>16287329.973170692</v>
      </c>
      <c r="G1632" s="7">
        <v>47094</v>
      </c>
      <c r="H1632" s="1" t="s">
        <v>30</v>
      </c>
      <c r="I1632" s="1" t="str">
        <f>IF(G1632&lt;=$K$1,"Pagado","Pendiente")</f>
        <v>Pendiente</v>
      </c>
    </row>
    <row r="1633" spans="1:10" hidden="1">
      <c r="A1633" s="31">
        <v>272635</v>
      </c>
      <c r="B1633" s="2">
        <v>39</v>
      </c>
      <c r="C1633" s="8">
        <v>9940361.3594014477</v>
      </c>
      <c r="D1633" s="8">
        <v>5620261.2587566543</v>
      </c>
      <c r="E1633" s="8">
        <v>674431.35105079855</v>
      </c>
      <c r="F1633" s="8">
        <v>16235053.9692089</v>
      </c>
      <c r="G1633" s="7">
        <v>47125</v>
      </c>
      <c r="H1633" s="1" t="s">
        <v>30</v>
      </c>
      <c r="I1633" s="1" t="str">
        <f>IF(G1633&lt;=$K$1,"Pagado","Pendiente")</f>
        <v>Pendiente</v>
      </c>
    </row>
    <row r="1634" spans="1:10" hidden="1">
      <c r="A1634" s="31">
        <v>272635</v>
      </c>
      <c r="B1634" s="2">
        <v>40</v>
      </c>
      <c r="C1634" s="8">
        <v>10395961.255040681</v>
      </c>
      <c r="D1634" s="8">
        <v>5164661.363117421</v>
      </c>
      <c r="E1634" s="8">
        <v>619759.36357409053</v>
      </c>
      <c r="F1634" s="8">
        <v>16180381.981732193</v>
      </c>
      <c r="G1634" s="7">
        <v>47156</v>
      </c>
      <c r="H1634" s="1" t="s">
        <v>30</v>
      </c>
      <c r="I1634" s="1" t="str">
        <f>IF(G1634&lt;=$K$1,"Pagado","Pendiente")</f>
        <v>Pendiente</v>
      </c>
    </row>
    <row r="1635" spans="1:10" hidden="1">
      <c r="A1635" s="31">
        <v>272635</v>
      </c>
      <c r="B1635" s="2">
        <v>41</v>
      </c>
      <c r="C1635" s="8">
        <v>10872442.812563378</v>
      </c>
      <c r="D1635" s="8">
        <v>4688179.8055947237</v>
      </c>
      <c r="E1635" s="8">
        <v>562581.57667136681</v>
      </c>
      <c r="F1635" s="8">
        <v>16123204.19482947</v>
      </c>
      <c r="G1635" s="7">
        <v>47184</v>
      </c>
      <c r="H1635" s="1" t="s">
        <v>30</v>
      </c>
      <c r="I1635" s="1" t="str">
        <f>IF(G1635&lt;=$K$1,"Pagado","Pendiente")</f>
        <v>Pendiente</v>
      </c>
    </row>
    <row r="1636" spans="1:10" hidden="1">
      <c r="A1636" s="31">
        <v>272635</v>
      </c>
      <c r="B1636" s="2">
        <v>42</v>
      </c>
      <c r="C1636" s="8">
        <v>11370763.1081392</v>
      </c>
      <c r="D1636" s="8">
        <v>4189859.5100189024</v>
      </c>
      <c r="E1636" s="8">
        <v>502783.14120226831</v>
      </c>
      <c r="F1636" s="8">
        <v>16063405.759360371</v>
      </c>
      <c r="G1636" s="7">
        <v>47215</v>
      </c>
      <c r="H1636" s="1" t="s">
        <v>30</v>
      </c>
      <c r="I1636" s="1" t="str">
        <f>IF(G1636&lt;=$K$1,"Pagado","Pendiente")</f>
        <v>Pendiente</v>
      </c>
    </row>
    <row r="1637" spans="1:10" hidden="1">
      <c r="A1637" s="31">
        <v>272635</v>
      </c>
      <c r="B1637" s="2">
        <v>43</v>
      </c>
      <c r="C1637" s="8">
        <v>11891923.083928913</v>
      </c>
      <c r="D1637" s="8">
        <v>3668699.5342291892</v>
      </c>
      <c r="E1637" s="8">
        <v>440243.9441075027</v>
      </c>
      <c r="F1637" s="8">
        <v>16000866.562265605</v>
      </c>
      <c r="G1637" s="7">
        <v>47245</v>
      </c>
      <c r="H1637" s="1" t="s">
        <v>30</v>
      </c>
      <c r="I1637" s="1" t="str">
        <f>IF(G1637&lt;=$K$1,"Pagado","Pendiente")</f>
        <v>Pendiente</v>
      </c>
    </row>
    <row r="1638" spans="1:10" hidden="1">
      <c r="A1638" s="31">
        <v>272635</v>
      </c>
      <c r="B1638" s="2">
        <v>44</v>
      </c>
      <c r="C1638" s="8">
        <v>12436969.558608988</v>
      </c>
      <c r="D1638" s="8">
        <v>3123653.0595491137</v>
      </c>
      <c r="E1638" s="8">
        <v>374838.36714589363</v>
      </c>
      <c r="F1638" s="8">
        <v>15935460.985303996</v>
      </c>
      <c r="G1638" s="7">
        <v>47276</v>
      </c>
      <c r="H1638" s="1" t="s">
        <v>30</v>
      </c>
      <c r="I1638" s="1" t="str">
        <f>IF(G1638&lt;=$K$1,"Pagado","Pendiente")</f>
        <v>Pendiente</v>
      </c>
    </row>
    <row r="1639" spans="1:10" hidden="1">
      <c r="A1639" s="31">
        <v>272635</v>
      </c>
      <c r="B1639" s="2">
        <v>45</v>
      </c>
      <c r="C1639" s="8">
        <v>13006997.330045234</v>
      </c>
      <c r="D1639" s="8">
        <v>2553625.2881128686</v>
      </c>
      <c r="E1639" s="8">
        <v>306435.03457354422</v>
      </c>
      <c r="F1639" s="8">
        <v>15867057.652731648</v>
      </c>
      <c r="G1639" s="7">
        <v>47306</v>
      </c>
      <c r="H1639" s="1" t="s">
        <v>30</v>
      </c>
      <c r="I1639" s="1" t="str">
        <f>IF(G1639&lt;=$K$1,"Pagado","Pendiente")</f>
        <v>Pendiente</v>
      </c>
    </row>
    <row r="1640" spans="1:10" hidden="1">
      <c r="A1640" s="31">
        <v>272635</v>
      </c>
      <c r="B1640" s="2">
        <v>46</v>
      </c>
      <c r="C1640" s="8">
        <v>13603151.374338973</v>
      </c>
      <c r="D1640" s="8">
        <v>1957471.243819129</v>
      </c>
      <c r="E1640" s="8">
        <v>234896.54925829548</v>
      </c>
      <c r="F1640" s="8">
        <v>15795519.167416397</v>
      </c>
      <c r="G1640" s="7">
        <v>47337</v>
      </c>
      <c r="H1640" s="1" t="s">
        <v>30</v>
      </c>
      <c r="I1640" s="1" t="str">
        <f>IF(G1640&lt;=$K$1,"Pagado","Pendiente")</f>
        <v>Pendiente</v>
      </c>
    </row>
    <row r="1641" spans="1:10" hidden="1">
      <c r="A1641" s="31">
        <v>272635</v>
      </c>
      <c r="B1641" s="2">
        <v>47</v>
      </c>
      <c r="C1641" s="8">
        <v>14226629.145662842</v>
      </c>
      <c r="D1641" s="8">
        <v>1333993.4724952593</v>
      </c>
      <c r="E1641" s="8">
        <v>160079.2166994311</v>
      </c>
      <c r="F1641" s="8">
        <v>15720701.834857533</v>
      </c>
      <c r="G1641" s="7">
        <v>47368</v>
      </c>
      <c r="H1641" s="1" t="s">
        <v>30</v>
      </c>
      <c r="I1641" s="1" t="str">
        <f>IF(G1641&lt;=$K$1,"Pagado","Pendiente")</f>
        <v>Pendiente</v>
      </c>
    </row>
    <row r="1642" spans="1:10" hidden="1">
      <c r="A1642" s="31">
        <v>272635</v>
      </c>
      <c r="B1642" s="2">
        <v>48</v>
      </c>
      <c r="C1642" s="8">
        <v>14878682.981505724</v>
      </c>
      <c r="D1642" s="8">
        <v>681939.63665237895</v>
      </c>
      <c r="E1642" s="8">
        <v>81832.756398285477</v>
      </c>
      <c r="F1642" s="8">
        <v>15642455.374556389</v>
      </c>
      <c r="G1642" s="7">
        <v>47398</v>
      </c>
      <c r="H1642" s="1" t="s">
        <v>30</v>
      </c>
      <c r="I1642" s="1" t="str">
        <f>IF(G1642&lt;=$K$1,"Pagado","Pendiente")</f>
        <v>Pendiente</v>
      </c>
    </row>
    <row r="1643" spans="1:10" hidden="1">
      <c r="A1643" s="2">
        <v>933803600</v>
      </c>
      <c r="B1643" s="2">
        <v>1</v>
      </c>
      <c r="C1643" s="27">
        <v>27777777.739999998</v>
      </c>
      <c r="D1643" s="27">
        <v>34855502.5</v>
      </c>
      <c r="E1643" s="27">
        <v>4182660.3</v>
      </c>
      <c r="F1643" s="8">
        <f>+C1643+D1643+E1643</f>
        <v>66815940.539999992</v>
      </c>
      <c r="G1643" s="7">
        <v>45986</v>
      </c>
      <c r="H1643" s="1" t="s">
        <v>24</v>
      </c>
      <c r="I1643" s="1" t="str">
        <f>IF(G1643&lt;=$K$1,"Pagado","Pendiente")</f>
        <v>Pagado</v>
      </c>
      <c r="J1643" s="15" t="s">
        <v>129</v>
      </c>
    </row>
    <row r="1644" spans="1:10" hidden="1">
      <c r="A1644" s="32">
        <v>933803600</v>
      </c>
      <c r="B1644" s="32">
        <v>2</v>
      </c>
      <c r="C1644" s="33">
        <v>27777777.780000001</v>
      </c>
      <c r="D1644" s="33">
        <v>26082157.166666668</v>
      </c>
      <c r="E1644" s="33">
        <v>3129858.86</v>
      </c>
      <c r="F1644" s="34">
        <f>+C1644+D1644+E1644</f>
        <v>56989793.806666672</v>
      </c>
      <c r="G1644" s="35">
        <v>46016</v>
      </c>
      <c r="H1644" s="36" t="s">
        <v>24</v>
      </c>
      <c r="I1644" s="1" t="str">
        <f>IF(G1644&lt;=$K$1,"Pagado","Pendiente")</f>
        <v>Pagado</v>
      </c>
      <c r="J1644" s="15" t="s">
        <v>129</v>
      </c>
    </row>
    <row r="1645" spans="1:10" hidden="1">
      <c r="A1645" s="2">
        <v>933803600</v>
      </c>
      <c r="B1645" s="2">
        <v>3</v>
      </c>
      <c r="C1645" s="27">
        <v>27777777.780000001</v>
      </c>
      <c r="D1645" s="27">
        <v>24547912.583333332</v>
      </c>
      <c r="E1645" s="27">
        <v>2945749.51</v>
      </c>
      <c r="F1645" s="8">
        <f>+C1645+D1645+E1645</f>
        <v>55271439.873333327</v>
      </c>
      <c r="G1645" s="7">
        <v>46047</v>
      </c>
      <c r="H1645" s="1" t="s">
        <v>24</v>
      </c>
      <c r="I1645" s="1" t="str">
        <f>IF(G1645&lt;=$K$1,"Pagado","Pendiente")</f>
        <v>Pagado</v>
      </c>
      <c r="J1645" s="15" t="s">
        <v>129</v>
      </c>
    </row>
    <row r="1646" spans="1:10" hidden="1">
      <c r="A1646" s="2">
        <v>933803600</v>
      </c>
      <c r="B1646" s="2">
        <v>4</v>
      </c>
      <c r="C1646" s="27">
        <v>27777777.780000001</v>
      </c>
      <c r="D1646" s="27">
        <v>22271291.75</v>
      </c>
      <c r="E1646" s="27">
        <v>2672555.0099999998</v>
      </c>
      <c r="F1646" s="8">
        <f>+C1646+D1646+E1646</f>
        <v>52721624.539999999</v>
      </c>
      <c r="G1646" s="7">
        <v>46078</v>
      </c>
      <c r="H1646" s="1" t="s">
        <v>24</v>
      </c>
      <c r="I1646" s="1" t="str">
        <f>IF(G1646&lt;=$K$1,"Pagado","Pendiente")</f>
        <v>Pagado</v>
      </c>
      <c r="J1646" s="15" t="s">
        <v>129</v>
      </c>
    </row>
    <row r="1647" spans="1:10" hidden="1">
      <c r="A1647" s="2">
        <v>933803600</v>
      </c>
      <c r="B1647" s="2">
        <v>5</v>
      </c>
      <c r="C1647" s="27">
        <v>27777777.780000001</v>
      </c>
      <c r="D1647" s="27">
        <v>19400769.583333336</v>
      </c>
      <c r="E1647" s="27">
        <v>2328092.35</v>
      </c>
      <c r="F1647" s="8">
        <f>+C1647+D1647+E1647</f>
        <v>49506639.713333338</v>
      </c>
      <c r="G1647" s="7">
        <v>46106</v>
      </c>
      <c r="H1647" s="1" t="s">
        <v>24</v>
      </c>
      <c r="I1647" s="1" t="str">
        <f>IF(G1647&lt;=$K$1,"Pagado","Pendiente")</f>
        <v>Pagado</v>
      </c>
      <c r="J1647" s="15" t="s">
        <v>129</v>
      </c>
    </row>
    <row r="1648" spans="1:10" hidden="1">
      <c r="A1648" s="2">
        <v>885417400</v>
      </c>
      <c r="B1648" s="2">
        <v>13</v>
      </c>
      <c r="C1648" s="8">
        <v>27777777.777777776</v>
      </c>
      <c r="D1648" s="8">
        <v>5094444.4444444394</v>
      </c>
      <c r="E1648" s="8">
        <v>611333.33333333267</v>
      </c>
      <c r="F1648" s="8">
        <v>33483555.555555549</v>
      </c>
      <c r="G1648" s="7">
        <v>46137</v>
      </c>
      <c r="H1648" s="1" t="s">
        <v>24</v>
      </c>
      <c r="I1648" s="1" t="str">
        <f>IF(G1648&lt;=$K$1,"Pagado","Pendiente")</f>
        <v>Pagado</v>
      </c>
    </row>
    <row r="1649" spans="1:10" hidden="1">
      <c r="A1649" s="2">
        <v>933803600</v>
      </c>
      <c r="B1649" s="2">
        <v>7</v>
      </c>
      <c r="C1649" s="27">
        <v>27777777.780000001</v>
      </c>
      <c r="D1649" s="27">
        <v>16629231.166666668</v>
      </c>
      <c r="E1649" s="27">
        <v>1995507.74</v>
      </c>
      <c r="F1649" s="8">
        <f>+C1649+D1649+E1649</f>
        <v>46402516.686666675</v>
      </c>
      <c r="G1649" s="7">
        <v>46167</v>
      </c>
      <c r="H1649" s="1" t="s">
        <v>24</v>
      </c>
      <c r="I1649" s="1" t="str">
        <f>IF(G1649&lt;=$K$1,"Pagado","Pendiente")</f>
        <v>Pendiente</v>
      </c>
      <c r="J1649" s="15" t="s">
        <v>129</v>
      </c>
    </row>
    <row r="1650" spans="1:10" hidden="1">
      <c r="A1650" s="2">
        <v>933803600</v>
      </c>
      <c r="B1650" s="2">
        <v>8</v>
      </c>
      <c r="C1650" s="27">
        <v>27777777.780000001</v>
      </c>
      <c r="D1650" s="27">
        <v>16876689.916666668</v>
      </c>
      <c r="E1650" s="27">
        <v>2025202.79</v>
      </c>
      <c r="F1650" s="8">
        <f>+C1650+D1650+E1650</f>
        <v>46679670.486666672</v>
      </c>
      <c r="G1650" s="7">
        <v>46198</v>
      </c>
      <c r="H1650" s="1" t="s">
        <v>24</v>
      </c>
      <c r="I1650" s="1" t="str">
        <f>IF(G1650&lt;=$K$1,"Pagado","Pendiente")</f>
        <v>Pendiente</v>
      </c>
      <c r="J1650" s="15" t="s">
        <v>129</v>
      </c>
    </row>
    <row r="1651" spans="1:10" hidden="1">
      <c r="A1651" s="2">
        <v>933803600</v>
      </c>
      <c r="B1651" s="2">
        <v>9</v>
      </c>
      <c r="C1651" s="27">
        <v>27777777.780000001</v>
      </c>
      <c r="D1651" s="27">
        <v>15837362.916666668</v>
      </c>
      <c r="E1651" s="27">
        <v>1900483.55</v>
      </c>
      <c r="F1651" s="8">
        <f>+C1651+D1651+E1651</f>
        <v>45515624.24666667</v>
      </c>
      <c r="G1651" s="7">
        <v>46228</v>
      </c>
      <c r="H1651" s="1" t="s">
        <v>24</v>
      </c>
      <c r="I1651" s="1" t="str">
        <f>IF(G1651&lt;=$K$1,"Pagado","Pendiente")</f>
        <v>Pendiente</v>
      </c>
      <c r="J1651" s="15" t="s">
        <v>129</v>
      </c>
    </row>
    <row r="1652" spans="1:10" hidden="1">
      <c r="A1652" s="2">
        <v>933803600</v>
      </c>
      <c r="B1652" s="2">
        <v>10</v>
      </c>
      <c r="C1652" s="27">
        <v>27777777.780000001</v>
      </c>
      <c r="D1652" s="27">
        <v>12917349.166666666</v>
      </c>
      <c r="E1652" s="27">
        <v>1550081.9</v>
      </c>
      <c r="F1652" s="8">
        <f>+C1652+D1652+E1652</f>
        <v>42245208.846666664</v>
      </c>
      <c r="G1652" s="7">
        <v>46259</v>
      </c>
      <c r="H1652" s="1" t="s">
        <v>24</v>
      </c>
      <c r="I1652" s="1" t="str">
        <f>IF(G1652&lt;=$K$1,"Pagado","Pendiente")</f>
        <v>Pendiente</v>
      </c>
      <c r="J1652" s="15" t="s">
        <v>129</v>
      </c>
    </row>
    <row r="1653" spans="1:10" hidden="1">
      <c r="A1653" s="2">
        <v>933803600</v>
      </c>
      <c r="B1653" s="2">
        <v>11</v>
      </c>
      <c r="C1653" s="27">
        <v>27777777.780000001</v>
      </c>
      <c r="D1653" s="27">
        <v>12273956.25</v>
      </c>
      <c r="E1653" s="27">
        <v>1472874.75</v>
      </c>
      <c r="F1653" s="8">
        <f>+C1653+D1653+E1653</f>
        <v>41524608.780000001</v>
      </c>
      <c r="G1653" s="7">
        <v>46228</v>
      </c>
      <c r="H1653" s="1" t="s">
        <v>24</v>
      </c>
      <c r="I1653" s="1" t="str">
        <f>IF(G1653&lt;=$K$1,"Pagado","Pendiente")</f>
        <v>Pendiente</v>
      </c>
      <c r="J1653" s="15" t="s">
        <v>129</v>
      </c>
    </row>
    <row r="1654" spans="1:10" hidden="1">
      <c r="A1654" s="2">
        <v>933803600</v>
      </c>
      <c r="B1654" s="2">
        <v>12</v>
      </c>
      <c r="C1654" s="27">
        <v>27777777.780000001</v>
      </c>
      <c r="D1654" s="27">
        <v>10739711.75</v>
      </c>
      <c r="E1654" s="27">
        <v>1288765.4099999999</v>
      </c>
      <c r="F1654" s="8">
        <f>+C1654+D1654+E1654</f>
        <v>39806254.939999998</v>
      </c>
      <c r="G1654" s="7">
        <v>46259</v>
      </c>
      <c r="H1654" s="1" t="s">
        <v>24</v>
      </c>
      <c r="I1654" s="1" t="str">
        <f>IF(G1654&lt;=$K$1,"Pagado","Pendiente")</f>
        <v>Pendiente</v>
      </c>
      <c r="J1654" s="15" t="s">
        <v>129</v>
      </c>
    </row>
    <row r="1655" spans="1:10" hidden="1">
      <c r="A1655" s="2">
        <v>933803600</v>
      </c>
      <c r="B1655" s="2">
        <v>13</v>
      </c>
      <c r="C1655" s="27">
        <v>27777777.780000001</v>
      </c>
      <c r="D1655" s="27">
        <v>8908516.6666666679</v>
      </c>
      <c r="E1655" s="27">
        <v>1069022</v>
      </c>
      <c r="F1655" s="8">
        <f>+C1655+D1655+E1655</f>
        <v>37755316.446666673</v>
      </c>
      <c r="G1655" s="7">
        <v>46290</v>
      </c>
      <c r="H1655" s="1" t="s">
        <v>24</v>
      </c>
      <c r="I1655" s="1" t="str">
        <f>IF(G1655&lt;=$K$1,"Pagado","Pendiente")</f>
        <v>Pendiente</v>
      </c>
      <c r="J1655" s="15" t="s">
        <v>129</v>
      </c>
    </row>
    <row r="1656" spans="1:10" hidden="1">
      <c r="A1656" s="2">
        <v>933803600</v>
      </c>
      <c r="B1656" s="2">
        <v>14</v>
      </c>
      <c r="C1656" s="27">
        <v>27777777.780000001</v>
      </c>
      <c r="D1656" s="27">
        <v>7423763.916666667</v>
      </c>
      <c r="E1656" s="27">
        <v>890851.67</v>
      </c>
      <c r="F1656" s="8">
        <f>+C1656+D1656+E1656</f>
        <v>36092393.366666667</v>
      </c>
      <c r="G1656" s="7">
        <v>46320</v>
      </c>
      <c r="H1656" s="1" t="s">
        <v>24</v>
      </c>
      <c r="I1656" s="1" t="str">
        <f>IF(G1656&lt;=$K$1,"Pagado","Pendiente")</f>
        <v>Pendiente</v>
      </c>
      <c r="J1656" s="15" t="s">
        <v>129</v>
      </c>
    </row>
    <row r="1657" spans="1:10" hidden="1">
      <c r="A1657" s="2">
        <v>933803600</v>
      </c>
      <c r="B1657" s="2">
        <v>15</v>
      </c>
      <c r="C1657" s="27">
        <v>27777777.780000001</v>
      </c>
      <c r="D1657" s="27">
        <v>6136978.083333334</v>
      </c>
      <c r="E1657" s="27">
        <v>736437.37</v>
      </c>
      <c r="F1657" s="8">
        <f>+C1657+D1657+E1657</f>
        <v>34651193.233333334</v>
      </c>
      <c r="G1657" s="7">
        <v>46351</v>
      </c>
      <c r="H1657" s="1" t="s">
        <v>24</v>
      </c>
      <c r="I1657" s="1" t="str">
        <f>IF(G1657&lt;=$K$1,"Pagado","Pendiente")</f>
        <v>Pendiente</v>
      </c>
      <c r="J1657" s="15" t="s">
        <v>129</v>
      </c>
    </row>
    <row r="1658" spans="1:10" hidden="1">
      <c r="A1658" s="2">
        <v>933803600</v>
      </c>
      <c r="B1658" s="2">
        <v>16</v>
      </c>
      <c r="C1658" s="27">
        <v>27777777.780000001</v>
      </c>
      <c r="D1658" s="27">
        <v>4602733.583333334</v>
      </c>
      <c r="E1658" s="27">
        <v>552328.03</v>
      </c>
      <c r="F1658" s="8">
        <f>+C1658+D1658+E1658</f>
        <v>32932839.393333338</v>
      </c>
      <c r="G1658" s="7">
        <v>46381</v>
      </c>
      <c r="H1658" s="1" t="s">
        <v>24</v>
      </c>
      <c r="I1658" s="1" t="str">
        <f>IF(G1658&lt;=$K$1,"Pagado","Pendiente")</f>
        <v>Pendiente</v>
      </c>
      <c r="J1658" s="15" t="s">
        <v>129</v>
      </c>
    </row>
    <row r="1659" spans="1:10" hidden="1">
      <c r="A1659" s="2">
        <v>933803600</v>
      </c>
      <c r="B1659" s="2">
        <v>17</v>
      </c>
      <c r="C1659" s="27">
        <v>27777777.780000001</v>
      </c>
      <c r="D1659" s="27">
        <v>2771538.5</v>
      </c>
      <c r="E1659" s="27">
        <v>332584.62</v>
      </c>
      <c r="F1659" s="8">
        <f>+C1659+D1659+E1659</f>
        <v>30881900.900000002</v>
      </c>
      <c r="G1659" s="7">
        <v>46047</v>
      </c>
      <c r="H1659" s="1" t="s">
        <v>24</v>
      </c>
      <c r="I1659" s="1" t="str">
        <f>IF(G1659&lt;=$K$1,"Pagado","Pendiente")</f>
        <v>Pagado</v>
      </c>
      <c r="J1659" s="15" t="s">
        <v>129</v>
      </c>
    </row>
    <row r="1660" spans="1:10" hidden="1">
      <c r="A1660" s="2">
        <v>933803600</v>
      </c>
      <c r="B1660" s="2">
        <v>18</v>
      </c>
      <c r="C1660" s="27">
        <v>27777777.780000001</v>
      </c>
      <c r="D1660" s="27">
        <v>1583736.25</v>
      </c>
      <c r="E1660" s="27">
        <v>190048.35</v>
      </c>
      <c r="F1660" s="8">
        <f>+C1660+D1660+E1660</f>
        <v>29551562.380000003</v>
      </c>
      <c r="G1660" s="7">
        <v>46078</v>
      </c>
      <c r="H1660" s="1" t="s">
        <v>24</v>
      </c>
      <c r="I1660" s="1" t="str">
        <f>IF(G1660&lt;=$K$1,"Pagado","Pendiente")</f>
        <v>Pagado</v>
      </c>
      <c r="J1660" s="15" t="s">
        <v>129</v>
      </c>
    </row>
    <row r="1661" spans="1:10" hidden="1">
      <c r="A1661" s="32">
        <v>936549900</v>
      </c>
      <c r="B1661" s="32">
        <v>1</v>
      </c>
      <c r="C1661" s="34">
        <v>22222222.222222224</v>
      </c>
      <c r="D1661" s="37">
        <v>25076840</v>
      </c>
      <c r="E1661" s="37">
        <v>3009220.8</v>
      </c>
      <c r="F1661" s="37">
        <v>50308283.020000003</v>
      </c>
      <c r="G1661" s="35">
        <v>45996</v>
      </c>
      <c r="H1661" s="36" t="s">
        <v>24</v>
      </c>
      <c r="I1661" s="1" t="str">
        <f>IF(G1661&lt;=$K$1,"Pagado","Pendiente")</f>
        <v>Pagado</v>
      </c>
      <c r="J1661" s="15" t="s">
        <v>129</v>
      </c>
    </row>
    <row r="1662" spans="1:10" hidden="1">
      <c r="A1662" s="2">
        <v>936549900</v>
      </c>
      <c r="B1662" s="2">
        <v>2</v>
      </c>
      <c r="C1662" s="8">
        <v>22222222.222222224</v>
      </c>
      <c r="D1662" s="28">
        <v>24473138.267857142</v>
      </c>
      <c r="E1662" s="28">
        <v>2936776.5921428567</v>
      </c>
      <c r="F1662" s="28">
        <v>49632137.079999998</v>
      </c>
      <c r="G1662" s="7">
        <v>46027</v>
      </c>
      <c r="H1662" s="1" t="s">
        <v>24</v>
      </c>
      <c r="I1662" s="1" t="str">
        <f>IF(G1662&lt;=$K$1,"Pagado","Pendiente")</f>
        <v>Pagado</v>
      </c>
      <c r="J1662" s="15" t="s">
        <v>129</v>
      </c>
    </row>
    <row r="1663" spans="1:10" hidden="1">
      <c r="A1663" s="2">
        <v>936549900</v>
      </c>
      <c r="B1663" s="2">
        <v>3</v>
      </c>
      <c r="C1663" s="8">
        <v>22222222.222222224</v>
      </c>
      <c r="D1663" s="28">
        <v>23033541.901785713</v>
      </c>
      <c r="E1663" s="28">
        <v>2764025.0282142856</v>
      </c>
      <c r="F1663" s="28">
        <v>48019789.149999999</v>
      </c>
      <c r="G1663" s="7">
        <v>46058</v>
      </c>
      <c r="H1663" s="1" t="s">
        <v>24</v>
      </c>
      <c r="I1663" s="1" t="str">
        <f>IF(G1663&lt;=$K$1,"Pagado","Pendiente")</f>
        <v>Pagado</v>
      </c>
      <c r="J1663" s="15" t="s">
        <v>129</v>
      </c>
    </row>
    <row r="1664" spans="1:10" hidden="1">
      <c r="A1664" s="2">
        <v>936549900</v>
      </c>
      <c r="B1664" s="2">
        <v>4</v>
      </c>
      <c r="C1664" s="8">
        <v>22222222.222222224</v>
      </c>
      <c r="D1664" s="28">
        <v>19504208.866071425</v>
      </c>
      <c r="E1664" s="28">
        <v>2340505.0639285711</v>
      </c>
      <c r="F1664" s="28">
        <v>44066936.149999999</v>
      </c>
      <c r="G1664" s="7">
        <v>46086</v>
      </c>
      <c r="H1664" s="1" t="s">
        <v>24</v>
      </c>
      <c r="I1664" s="1" t="str">
        <f>IF(G1664&lt;=$K$1,"Pagado","Pendiente")</f>
        <v>Pagado</v>
      </c>
      <c r="J1664" s="15" t="s">
        <v>129</v>
      </c>
    </row>
    <row r="1665" spans="1:10" hidden="1">
      <c r="A1665" s="2">
        <v>933803600</v>
      </c>
      <c r="B1665" s="2">
        <v>6</v>
      </c>
      <c r="C1665" s="27">
        <v>27777777.780000001</v>
      </c>
      <c r="D1665" s="27">
        <v>21231964.75</v>
      </c>
      <c r="E1665" s="27">
        <v>2547835.77</v>
      </c>
      <c r="F1665" s="8">
        <f>+C1665+D1665+E1665</f>
        <v>51557578.300000004</v>
      </c>
      <c r="G1665" s="7">
        <v>46137</v>
      </c>
      <c r="H1665" s="1" t="s">
        <v>24</v>
      </c>
      <c r="I1665" s="1" t="str">
        <f>IF(G1665&lt;=$K$1,"Pagado","Pendiente")</f>
        <v>Pagado</v>
      </c>
      <c r="J1665" s="15" t="s">
        <v>129</v>
      </c>
    </row>
    <row r="1666" spans="1:10" hidden="1">
      <c r="A1666" s="2">
        <v>936549900</v>
      </c>
      <c r="B1666" s="2">
        <v>6</v>
      </c>
      <c r="C1666" s="8">
        <v>22222222.222222224</v>
      </c>
      <c r="D1666" s="28">
        <v>17507349.401785713</v>
      </c>
      <c r="E1666" s="28">
        <v>2100881.9282142855</v>
      </c>
      <c r="F1666" s="28">
        <v>41830453.549999997</v>
      </c>
      <c r="G1666" s="7">
        <v>46147</v>
      </c>
      <c r="H1666" s="1" t="s">
        <v>24</v>
      </c>
      <c r="I1666" s="1" t="str">
        <f>IF(G1666&lt;=$K$1,"Pagado","Pendiente")</f>
        <v>Pendiente</v>
      </c>
      <c r="J1666" s="15" t="s">
        <v>129</v>
      </c>
    </row>
    <row r="1667" spans="1:10" hidden="1">
      <c r="A1667" s="2">
        <v>936549900</v>
      </c>
      <c r="B1667" s="2">
        <v>7</v>
      </c>
      <c r="C1667" s="8">
        <v>22222222.222222224</v>
      </c>
      <c r="D1667" s="28">
        <v>17275156.4375</v>
      </c>
      <c r="E1667" s="28">
        <v>2073018.7725</v>
      </c>
      <c r="F1667" s="28">
        <v>41570397.43</v>
      </c>
      <c r="G1667" s="7">
        <v>46178</v>
      </c>
      <c r="H1667" s="1" t="s">
        <v>24</v>
      </c>
      <c r="I1667" s="1" t="str">
        <f>IF(G1667&lt;=$K$1,"Pagado","Pendiente")</f>
        <v>Pendiente</v>
      </c>
      <c r="J1667" s="15" t="s">
        <v>129</v>
      </c>
    </row>
    <row r="1668" spans="1:10" hidden="1">
      <c r="A1668" s="2">
        <v>936549900</v>
      </c>
      <c r="B1668" s="2">
        <v>8</v>
      </c>
      <c r="C1668" s="8">
        <v>22222222.222222224</v>
      </c>
      <c r="D1668" s="28">
        <v>15835560.062500002</v>
      </c>
      <c r="E1668" s="28">
        <v>1900267.2075000003</v>
      </c>
      <c r="F1668" s="28">
        <v>39958049.490000002</v>
      </c>
      <c r="G1668" s="7">
        <v>46208</v>
      </c>
      <c r="H1668" s="1" t="s">
        <v>24</v>
      </c>
      <c r="I1668" s="1" t="str">
        <f>IF(G1668&lt;=$K$1,"Pagado","Pendiente")</f>
        <v>Pendiente</v>
      </c>
      <c r="J1668" s="15" t="s">
        <v>129</v>
      </c>
    </row>
    <row r="1669" spans="1:10" hidden="1">
      <c r="A1669" s="2">
        <v>936549900</v>
      </c>
      <c r="B1669" s="2">
        <v>9</v>
      </c>
      <c r="C1669" s="8">
        <v>22222222.222222224</v>
      </c>
      <c r="D1669" s="28">
        <v>13931577.785714289</v>
      </c>
      <c r="E1669" s="28">
        <v>1671789.3342857147</v>
      </c>
      <c r="F1669" s="28">
        <v>37825589.340000004</v>
      </c>
      <c r="G1669" s="7">
        <v>46239</v>
      </c>
      <c r="H1669" s="1" t="s">
        <v>24</v>
      </c>
      <c r="I1669" s="1" t="str">
        <f>IF(G1669&lt;=$K$1,"Pagado","Pendiente")</f>
        <v>Pendiente</v>
      </c>
      <c r="J1669" s="15" t="s">
        <v>129</v>
      </c>
    </row>
    <row r="1670" spans="1:10" hidden="1">
      <c r="A1670" s="2">
        <v>936549900</v>
      </c>
      <c r="B1670" s="2">
        <v>10</v>
      </c>
      <c r="C1670" s="8">
        <v>22222222.222222224</v>
      </c>
      <c r="D1670" s="28">
        <v>13792261.999999996</v>
      </c>
      <c r="E1670" s="28">
        <v>1655071.4399999995</v>
      </c>
      <c r="F1670" s="28">
        <v>37669555.659999996</v>
      </c>
      <c r="G1670" s="7">
        <v>46270</v>
      </c>
      <c r="H1670" s="1" t="s">
        <v>24</v>
      </c>
      <c r="I1670" s="1" t="str">
        <f>IF(G1670&lt;=$K$1,"Pagado","Pendiente")</f>
        <v>Pendiente</v>
      </c>
      <c r="J1670" s="15" t="s">
        <v>129</v>
      </c>
    </row>
    <row r="1671" spans="1:10" hidden="1">
      <c r="A1671" s="2">
        <v>936549900</v>
      </c>
      <c r="B1671" s="2">
        <v>11</v>
      </c>
      <c r="C1671" s="8">
        <v>22222222.222222224</v>
      </c>
      <c r="D1671" s="28">
        <v>10402244.732142858</v>
      </c>
      <c r="E1671" s="28">
        <v>1248269.3678571431</v>
      </c>
      <c r="F1671" s="28">
        <v>33872736.32</v>
      </c>
      <c r="G1671" s="7">
        <v>46300</v>
      </c>
      <c r="H1671" s="1" t="s">
        <v>24</v>
      </c>
      <c r="I1671" s="1" t="str">
        <f>IF(G1671&lt;=$K$1,"Pagado","Pendiente")</f>
        <v>Pendiente</v>
      </c>
      <c r="J1671" s="15" t="s">
        <v>129</v>
      </c>
    </row>
    <row r="1672" spans="1:10" hidden="1">
      <c r="A1672" s="2">
        <v>936549900</v>
      </c>
      <c r="B1672" s="2">
        <v>12</v>
      </c>
      <c r="C1672" s="8">
        <v>22222222.222222224</v>
      </c>
      <c r="D1672" s="28">
        <v>10077174.580357144</v>
      </c>
      <c r="E1672" s="28">
        <v>1209260.9496428573</v>
      </c>
      <c r="F1672" s="28">
        <v>33508657.75</v>
      </c>
      <c r="G1672" s="7">
        <v>46331</v>
      </c>
      <c r="H1672" s="1" t="s">
        <v>24</v>
      </c>
      <c r="I1672" s="1" t="str">
        <f>IF(G1672&lt;=$K$1,"Pagado","Pendiente")</f>
        <v>Pendiente</v>
      </c>
      <c r="J1672" s="15" t="s">
        <v>129</v>
      </c>
    </row>
    <row r="1673" spans="1:10" hidden="1">
      <c r="A1673" s="2">
        <v>936549900</v>
      </c>
      <c r="B1673" s="2">
        <v>13</v>
      </c>
      <c r="C1673" s="8">
        <v>22222222.222222224</v>
      </c>
      <c r="D1673" s="28">
        <v>8916209.7857142854</v>
      </c>
      <c r="E1673" s="28">
        <v>1069945.1742857143</v>
      </c>
      <c r="F1673" s="28">
        <v>32208377.18</v>
      </c>
      <c r="G1673" s="7">
        <v>46361</v>
      </c>
      <c r="H1673" s="1" t="s">
        <v>24</v>
      </c>
      <c r="I1673" s="1" t="str">
        <f>IF(G1673&lt;=$K$1,"Pagado","Pendiente")</f>
        <v>Pendiente</v>
      </c>
      <c r="J1673" s="15" t="s">
        <v>129</v>
      </c>
    </row>
    <row r="1674" spans="1:10" hidden="1">
      <c r="A1674" s="2">
        <v>936549900</v>
      </c>
      <c r="B1674" s="2">
        <v>14</v>
      </c>
      <c r="C1674" s="8">
        <v>22222222.222222224</v>
      </c>
      <c r="D1674" s="28">
        <v>6733595.9196428563</v>
      </c>
      <c r="E1674" s="28">
        <v>808031.51035714278</v>
      </c>
      <c r="F1674" s="28">
        <v>29763849.649999999</v>
      </c>
      <c r="G1674" s="7">
        <v>46392</v>
      </c>
      <c r="H1674" s="1" t="s">
        <v>24</v>
      </c>
      <c r="I1674" s="1" t="str">
        <f>IF(G1674&lt;=$K$1,"Pagado","Pendiente")</f>
        <v>Pendiente</v>
      </c>
      <c r="J1674" s="15" t="s">
        <v>129</v>
      </c>
    </row>
    <row r="1675" spans="1:10" hidden="1">
      <c r="A1675" s="2">
        <v>936549900</v>
      </c>
      <c r="B1675" s="2">
        <v>15</v>
      </c>
      <c r="C1675" s="8">
        <v>22222222.222222224</v>
      </c>
      <c r="D1675" s="28">
        <v>5758385.4821428582</v>
      </c>
      <c r="E1675" s="28">
        <v>691006.25785714295</v>
      </c>
      <c r="F1675" s="28">
        <v>28671613.960000001</v>
      </c>
      <c r="G1675" s="7">
        <v>46423</v>
      </c>
      <c r="H1675" s="1" t="s">
        <v>24</v>
      </c>
      <c r="I1675" s="1" t="str">
        <f>IF(G1675&lt;=$K$1,"Pagado","Pendiente")</f>
        <v>Pendiente</v>
      </c>
      <c r="J1675" s="15" t="s">
        <v>129</v>
      </c>
    </row>
    <row r="1676" spans="1:10" hidden="1">
      <c r="A1676" s="2">
        <v>936549900</v>
      </c>
      <c r="B1676" s="2">
        <v>16</v>
      </c>
      <c r="C1676" s="8">
        <v>22222222.222222224</v>
      </c>
      <c r="D1676" s="28">
        <v>3900841.7857142859</v>
      </c>
      <c r="E1676" s="28">
        <v>468101.01428571431</v>
      </c>
      <c r="F1676" s="28">
        <v>26591165.02</v>
      </c>
      <c r="G1676" s="7">
        <v>46451</v>
      </c>
      <c r="H1676" s="1" t="s">
        <v>24</v>
      </c>
      <c r="I1676" s="1" t="str">
        <f>IF(G1676&lt;=$K$1,"Pagado","Pendiente")</f>
        <v>Pendiente</v>
      </c>
      <c r="J1676" s="15" t="s">
        <v>129</v>
      </c>
    </row>
    <row r="1677" spans="1:10" hidden="1">
      <c r="A1677" s="2">
        <v>936549900</v>
      </c>
      <c r="B1677" s="2">
        <v>17</v>
      </c>
      <c r="C1677" s="8">
        <v>22222222.222222224</v>
      </c>
      <c r="D1677" s="28">
        <v>2879192.7410714291</v>
      </c>
      <c r="E1677" s="28">
        <v>345503.12892857147</v>
      </c>
      <c r="F1677" s="28">
        <v>25446918.09</v>
      </c>
      <c r="G1677" s="7">
        <v>46482</v>
      </c>
      <c r="H1677" s="1" t="s">
        <v>24</v>
      </c>
      <c r="I1677" s="1" t="str">
        <f>IF(G1677&lt;=$K$1,"Pagado","Pendiente")</f>
        <v>Pendiente</v>
      </c>
      <c r="J1677" s="15" t="s">
        <v>129</v>
      </c>
    </row>
    <row r="1678" spans="1:10" hidden="1">
      <c r="A1678" s="2">
        <v>936549900</v>
      </c>
      <c r="B1678" s="2">
        <v>18</v>
      </c>
      <c r="C1678" s="8">
        <v>22222222.222222224</v>
      </c>
      <c r="D1678" s="28">
        <v>1393157.7857142845</v>
      </c>
      <c r="E1678" s="28">
        <v>167178.93428571415</v>
      </c>
      <c r="F1678" s="28">
        <v>23782558.98</v>
      </c>
      <c r="G1678" s="7">
        <v>46512</v>
      </c>
      <c r="H1678" s="1" t="s">
        <v>24</v>
      </c>
      <c r="I1678" s="1" t="str">
        <f>IF(G1678&lt;=$K$1,"Pagado","Pendiente")</f>
        <v>Pendiente</v>
      </c>
      <c r="J1678" s="15" t="s">
        <v>129</v>
      </c>
    </row>
    <row r="1679" spans="1:10" hidden="1">
      <c r="A1679" s="2">
        <v>36663680</v>
      </c>
      <c r="B1679" s="2">
        <v>1</v>
      </c>
      <c r="C1679" s="8">
        <v>41666666.666666664</v>
      </c>
      <c r="D1679" s="29">
        <v>17972602.739999998</v>
      </c>
      <c r="E1679" s="29">
        <v>2156712.33</v>
      </c>
      <c r="F1679" s="29">
        <v>61795981.810000002</v>
      </c>
      <c r="G1679" s="7">
        <v>46013</v>
      </c>
      <c r="H1679" s="1" t="s">
        <v>27</v>
      </c>
      <c r="I1679" s="1" t="str">
        <f>IF(G1679&lt;=$K$1,"Pagado","Pendiente")</f>
        <v>Pagado</v>
      </c>
    </row>
    <row r="1680" spans="1:10" hidden="1">
      <c r="A1680" s="2">
        <v>36663680</v>
      </c>
      <c r="B1680" s="2">
        <v>2</v>
      </c>
      <c r="C1680" s="8">
        <v>41666666.666666664</v>
      </c>
      <c r="D1680" s="29">
        <v>13326198.627976194</v>
      </c>
      <c r="E1680" s="29">
        <v>1599143.8353571431</v>
      </c>
      <c r="F1680" s="29">
        <v>56592009.130000003</v>
      </c>
      <c r="G1680" s="7">
        <v>46044</v>
      </c>
      <c r="H1680" s="1" t="s">
        <v>27</v>
      </c>
      <c r="I1680" s="1" t="str">
        <f>IF(G1680&lt;=$K$1,"Pagado","Pendiente")</f>
        <v>Pagado</v>
      </c>
    </row>
    <row r="1681" spans="1:9" hidden="1">
      <c r="A1681" s="2">
        <v>36663680</v>
      </c>
      <c r="B1681" s="2">
        <v>3</v>
      </c>
      <c r="C1681" s="8">
        <v>41666666.666666664</v>
      </c>
      <c r="D1681" s="29">
        <v>14041095.890000001</v>
      </c>
      <c r="E1681" s="29">
        <v>1684931.51</v>
      </c>
      <c r="F1681" s="29">
        <v>57392694.060000002</v>
      </c>
      <c r="G1681" s="7">
        <v>46073</v>
      </c>
      <c r="H1681" s="1" t="s">
        <v>27</v>
      </c>
      <c r="I1681" s="1" t="str">
        <f>IF(G1681&lt;=$K$1,"Pagado","Pendiente")</f>
        <v>Pagado</v>
      </c>
    </row>
    <row r="1682" spans="1:9" hidden="1">
      <c r="A1682" s="2">
        <v>36663680</v>
      </c>
      <c r="B1682" s="2">
        <v>4</v>
      </c>
      <c r="C1682" s="8">
        <v>41666666.666666664</v>
      </c>
      <c r="D1682" s="29">
        <v>13058219.18</v>
      </c>
      <c r="E1682" s="29">
        <v>1566986.3</v>
      </c>
      <c r="F1682" s="29">
        <v>56291272.140000001</v>
      </c>
      <c r="G1682" s="7">
        <v>46104</v>
      </c>
      <c r="H1682" s="1" t="s">
        <v>27</v>
      </c>
      <c r="I1682" s="1" t="str">
        <f>IF(G1682&lt;=$K$1,"Pagado","Pendiente")</f>
        <v>Pagado</v>
      </c>
    </row>
    <row r="1683" spans="1:9" hidden="1">
      <c r="A1683" s="2">
        <v>36663680</v>
      </c>
      <c r="B1683" s="2">
        <v>5</v>
      </c>
      <c r="C1683" s="8">
        <v>41666666.666666664</v>
      </c>
      <c r="D1683" s="29">
        <v>10858447.49</v>
      </c>
      <c r="E1683" s="29">
        <v>1303013.7</v>
      </c>
      <c r="F1683" s="29">
        <v>53828127.850000001</v>
      </c>
      <c r="G1683" s="7">
        <v>46133</v>
      </c>
      <c r="H1683" s="1" t="s">
        <v>27</v>
      </c>
      <c r="I1683" s="1" t="str">
        <f>IF(G1683&lt;=$K$1,"Pagado","Pendiente")</f>
        <v>Pagado</v>
      </c>
    </row>
    <row r="1684" spans="1:9">
      <c r="A1684" s="2">
        <v>863502400</v>
      </c>
      <c r="B1684" s="2">
        <v>17</v>
      </c>
      <c r="C1684" s="8">
        <v>2968899</v>
      </c>
      <c r="D1684" s="8">
        <v>7052688.2300000004</v>
      </c>
      <c r="E1684" s="8">
        <v>846322.58</v>
      </c>
      <c r="F1684" s="8">
        <v>10867909.810000001</v>
      </c>
      <c r="G1684" s="7">
        <v>46159</v>
      </c>
      <c r="H1684" s="1" t="s">
        <v>24</v>
      </c>
      <c r="I1684" s="1" t="str">
        <f>IF(G1684&lt;=$K$1,"Pagado","Pendiente")</f>
        <v>Pendiente</v>
      </c>
    </row>
    <row r="1685" spans="1:9" hidden="1">
      <c r="A1685" s="2">
        <v>36663680</v>
      </c>
      <c r="B1685" s="2">
        <v>7</v>
      </c>
      <c r="C1685" s="8">
        <v>41666666.666666664</v>
      </c>
      <c r="D1685" s="29">
        <v>8982631.3699999992</v>
      </c>
      <c r="E1685" s="29">
        <v>1078356.1599999999</v>
      </c>
      <c r="F1685" s="29">
        <v>51731342.189999998</v>
      </c>
      <c r="G1685" s="7">
        <v>46195</v>
      </c>
      <c r="H1685" s="1" t="s">
        <v>27</v>
      </c>
      <c r="I1685" s="1" t="str">
        <f>IF(G1685&lt;=$K$1,"Pagado","Pendiente")</f>
        <v>Pendiente</v>
      </c>
    </row>
    <row r="1686" spans="1:9" hidden="1">
      <c r="A1686" s="2">
        <v>36663680</v>
      </c>
      <c r="B1686" s="2">
        <v>8</v>
      </c>
      <c r="C1686" s="8">
        <v>41666666.666666664</v>
      </c>
      <c r="D1686" s="29">
        <v>6552511.4100000001</v>
      </c>
      <c r="E1686" s="29">
        <v>786301.37</v>
      </c>
      <c r="F1686" s="29">
        <v>49007549.439999998</v>
      </c>
      <c r="G1686" s="7">
        <v>46223</v>
      </c>
      <c r="H1686" s="1" t="s">
        <v>27</v>
      </c>
      <c r="I1686" s="1" t="str">
        <f>IF(G1686&lt;=$K$1,"Pagado","Pendiente")</f>
        <v>Pendiente</v>
      </c>
    </row>
    <row r="1687" spans="1:9" hidden="1">
      <c r="A1687" s="2">
        <v>36663680</v>
      </c>
      <c r="B1687" s="2">
        <v>9</v>
      </c>
      <c r="C1687" s="8">
        <v>41666666.666666664</v>
      </c>
      <c r="D1687" s="29">
        <v>5616438.3600000003</v>
      </c>
      <c r="E1687" s="29">
        <v>673522.61</v>
      </c>
      <c r="F1687" s="29">
        <v>47957077.630000003</v>
      </c>
      <c r="G1687" s="7">
        <v>46253</v>
      </c>
      <c r="H1687" s="1" t="s">
        <v>27</v>
      </c>
      <c r="I1687" s="1" t="str">
        <f>IF(G1687&lt;=$K$1,"Pagado","Pendiente")</f>
        <v>Pendiente</v>
      </c>
    </row>
    <row r="1688" spans="1:9" hidden="1">
      <c r="A1688" s="2">
        <v>36663680</v>
      </c>
      <c r="B1688" s="2">
        <v>10</v>
      </c>
      <c r="C1688" s="8">
        <v>41666666.666666664</v>
      </c>
      <c r="D1688" s="29">
        <v>4212328.7699999996</v>
      </c>
      <c r="E1688" s="29">
        <v>505479.45</v>
      </c>
      <c r="F1688" s="29">
        <v>46384447.880000003</v>
      </c>
      <c r="G1688" s="7">
        <v>46283</v>
      </c>
      <c r="H1688" s="1" t="s">
        <v>27</v>
      </c>
      <c r="I1688" s="1" t="str">
        <f>IF(G1688&lt;=$K$1,"Pagado","Pendiente")</f>
        <v>Pendiente</v>
      </c>
    </row>
    <row r="1689" spans="1:9" hidden="1">
      <c r="A1689" s="2">
        <v>36663680</v>
      </c>
      <c r="B1689" s="2">
        <v>11</v>
      </c>
      <c r="C1689" s="8">
        <v>41666666.666666664</v>
      </c>
      <c r="D1689" s="29">
        <v>2901826.48</v>
      </c>
      <c r="E1689" s="29">
        <v>348219.18000000005</v>
      </c>
      <c r="F1689" s="29">
        <v>44916712.32</v>
      </c>
      <c r="G1689" s="7">
        <v>46314</v>
      </c>
      <c r="H1689" s="1" t="s">
        <v>27</v>
      </c>
      <c r="I1689" s="1" t="str">
        <f>IF(G1689&lt;=$K$1,"Pagado","Pendiente")</f>
        <v>Pendiente</v>
      </c>
    </row>
    <row r="1690" spans="1:9" hidden="1">
      <c r="A1690" s="2">
        <v>36663680</v>
      </c>
      <c r="B1690" s="2">
        <v>12</v>
      </c>
      <c r="C1690" s="8">
        <v>41666666.666666664</v>
      </c>
      <c r="D1690" s="29">
        <v>1357305.94</v>
      </c>
      <c r="E1690" s="29">
        <v>162876.71</v>
      </c>
      <c r="F1690" s="29">
        <v>43186849.310000002</v>
      </c>
      <c r="G1690" s="7">
        <v>46343</v>
      </c>
      <c r="H1690" s="1" t="s">
        <v>27</v>
      </c>
      <c r="I1690" s="1" t="str">
        <f>IF(G1690&lt;=$K$1,"Pagado","Pendiente")</f>
        <v>Pendiente</v>
      </c>
    </row>
    <row r="1691" spans="1:9" hidden="1">
      <c r="A1691" s="2">
        <v>946100200</v>
      </c>
      <c r="B1691" s="2">
        <v>1</v>
      </c>
      <c r="C1691" s="8">
        <v>22222222.219999999</v>
      </c>
      <c r="D1691" s="8">
        <v>13638088.52</v>
      </c>
      <c r="E1691" s="8">
        <v>1636570.62</v>
      </c>
      <c r="F1691" s="30">
        <v>37496881.359999999</v>
      </c>
      <c r="G1691" s="7">
        <v>46041</v>
      </c>
      <c r="H1691" s="1" t="s">
        <v>24</v>
      </c>
      <c r="I1691" s="1" t="str">
        <f>IF(G1691&lt;=$K$1,"Pagado","Pendiente")</f>
        <v>Pagado</v>
      </c>
    </row>
    <row r="1692" spans="1:9" hidden="1">
      <c r="A1692" s="2">
        <v>946100200</v>
      </c>
      <c r="B1692" s="2">
        <v>2</v>
      </c>
      <c r="C1692" s="8">
        <v>22222222.219999999</v>
      </c>
      <c r="D1692" s="8">
        <v>12477903.890000001</v>
      </c>
      <c r="E1692" s="8">
        <v>1497348.47</v>
      </c>
      <c r="F1692" s="30">
        <v>36197474.579999998</v>
      </c>
      <c r="G1692" s="7">
        <v>46072</v>
      </c>
      <c r="H1692" s="1" t="s">
        <v>24</v>
      </c>
      <c r="I1692" s="1" t="str">
        <f>IF(G1692&lt;=$K$1,"Pagado","Pendiente")</f>
        <v>Pagado</v>
      </c>
    </row>
    <row r="1693" spans="1:9" hidden="1">
      <c r="A1693" s="2">
        <v>946100200</v>
      </c>
      <c r="B1693" s="2">
        <v>3</v>
      </c>
      <c r="C1693" s="8">
        <v>22222222.219999999</v>
      </c>
      <c r="D1693" s="8">
        <v>10607402.17</v>
      </c>
      <c r="E1693" s="8">
        <v>1272888.26</v>
      </c>
      <c r="F1693" s="30">
        <v>34102512.649999999</v>
      </c>
      <c r="G1693" s="7">
        <v>46100</v>
      </c>
      <c r="H1693" s="1" t="s">
        <v>24</v>
      </c>
      <c r="I1693" s="1" t="str">
        <f>IF(G1693&lt;=$K$1,"Pagado","Pendiente")</f>
        <v>Pagado</v>
      </c>
    </row>
    <row r="1694" spans="1:9" hidden="1">
      <c r="A1694" s="2">
        <v>957186200</v>
      </c>
      <c r="B1694" s="2">
        <v>2</v>
      </c>
      <c r="C1694" s="8">
        <v>27777777.777777776</v>
      </c>
      <c r="D1694" s="8">
        <v>15992592.592592593</v>
      </c>
      <c r="E1694" s="8">
        <v>1919111.1111111112</v>
      </c>
      <c r="F1694" s="8">
        <v>45689481.481481478</v>
      </c>
      <c r="G1694" s="7">
        <v>46137</v>
      </c>
      <c r="H1694" s="1" t="s">
        <v>24</v>
      </c>
    </row>
    <row r="1695" spans="1:9">
      <c r="A1695" s="2">
        <v>843950300</v>
      </c>
      <c r="B1695" s="2">
        <v>20</v>
      </c>
      <c r="C1695" s="8">
        <v>2511632.04</v>
      </c>
      <c r="D1695" s="8">
        <v>5263737.3600000003</v>
      </c>
      <c r="E1695" s="8">
        <f>+F1695-D1695-C1695</f>
        <v>631648.48000000045</v>
      </c>
      <c r="F1695" s="8">
        <v>8407017.8800000008</v>
      </c>
      <c r="G1695" s="7">
        <v>46169</v>
      </c>
      <c r="H1695" s="1" t="s">
        <v>24</v>
      </c>
      <c r="I1695" s="1" t="str">
        <f>IF(G1695&lt;=$K$1,"Pagado","Pendiente")</f>
        <v>Pendiente</v>
      </c>
    </row>
    <row r="1696" spans="1:9" hidden="1">
      <c r="A1696" s="2">
        <v>946100200</v>
      </c>
      <c r="B1696" s="2">
        <v>6</v>
      </c>
      <c r="C1696" s="8">
        <v>22222222.219999999</v>
      </c>
      <c r="D1696" s="8">
        <v>9541926.5099999998</v>
      </c>
      <c r="E1696" s="8">
        <v>1145031.18</v>
      </c>
      <c r="F1696" s="30">
        <v>32909179.91</v>
      </c>
      <c r="G1696" s="7">
        <v>46192</v>
      </c>
      <c r="H1696" s="1" t="s">
        <v>24</v>
      </c>
      <c r="I1696" s="1" t="str">
        <f>IF(G1696&lt;=$K$1,"Pagado","Pendiente")</f>
        <v>Pendiente</v>
      </c>
    </row>
    <row r="1697" spans="1:9" hidden="1">
      <c r="A1697" s="2">
        <v>946100200</v>
      </c>
      <c r="B1697" s="2">
        <v>7</v>
      </c>
      <c r="C1697" s="8">
        <v>22222222.219999999</v>
      </c>
      <c r="D1697" s="8">
        <v>8807932.1600000001</v>
      </c>
      <c r="E1697" s="8">
        <v>1056951.8600000001</v>
      </c>
      <c r="F1697" s="30">
        <v>32087106.239999998</v>
      </c>
      <c r="G1697" s="7">
        <v>46223</v>
      </c>
      <c r="H1697" s="1" t="s">
        <v>24</v>
      </c>
      <c r="I1697" s="1" t="str">
        <f>IF(G1697&lt;=$K$1,"Pagado","Pendiente")</f>
        <v>Pendiente</v>
      </c>
    </row>
    <row r="1698" spans="1:9" hidden="1">
      <c r="A1698" s="2">
        <v>946100200</v>
      </c>
      <c r="B1698" s="2">
        <v>8</v>
      </c>
      <c r="C1698" s="8">
        <v>22222222.219999999</v>
      </c>
      <c r="D1698" s="8">
        <v>7813488.2199999997</v>
      </c>
      <c r="E1698" s="8">
        <v>937618.58</v>
      </c>
      <c r="F1698" s="30">
        <v>30973329.02</v>
      </c>
      <c r="G1698" s="7">
        <v>46253</v>
      </c>
      <c r="H1698" s="1" t="s">
        <v>24</v>
      </c>
      <c r="I1698" s="1" t="str">
        <f>IF(G1698&lt;=$K$1,"Pagado","Pendiente")</f>
        <v>Pendiente</v>
      </c>
    </row>
    <row r="1699" spans="1:9" hidden="1">
      <c r="A1699" s="2">
        <v>946100200</v>
      </c>
      <c r="B1699" s="2">
        <v>9</v>
      </c>
      <c r="C1699" s="8">
        <v>22222222.219999999</v>
      </c>
      <c r="D1699" s="8">
        <v>7813488.2199999997</v>
      </c>
      <c r="E1699" s="8">
        <v>937618.58</v>
      </c>
      <c r="F1699" s="30">
        <v>30973329.02</v>
      </c>
      <c r="G1699" s="7">
        <v>46286</v>
      </c>
      <c r="H1699" s="1" t="s">
        <v>24</v>
      </c>
      <c r="I1699" s="1" t="str">
        <f>IF(G1699&lt;=$K$1,"Pagado","Pendiente")</f>
        <v>Pendiente</v>
      </c>
    </row>
    <row r="1700" spans="1:9" hidden="1">
      <c r="A1700" s="2">
        <v>946100200</v>
      </c>
      <c r="B1700" s="2">
        <v>10</v>
      </c>
      <c r="C1700" s="8">
        <v>22222222.219999999</v>
      </c>
      <c r="D1700" s="8">
        <v>5966663.7199999997</v>
      </c>
      <c r="E1700" s="8">
        <v>715999.65</v>
      </c>
      <c r="F1700" s="30">
        <v>28904885.59</v>
      </c>
      <c r="G1700" s="7">
        <v>46314</v>
      </c>
      <c r="H1700" s="1" t="s">
        <v>24</v>
      </c>
      <c r="I1700" s="1" t="str">
        <f>IF(G1700&lt;=$K$1,"Pagado","Pendiente")</f>
        <v>Pendiente</v>
      </c>
    </row>
    <row r="1701" spans="1:9" hidden="1">
      <c r="A1701" s="2">
        <v>946100200</v>
      </c>
      <c r="B1701" s="2">
        <v>11</v>
      </c>
      <c r="C1701" s="8">
        <v>22222222.219999999</v>
      </c>
      <c r="D1701" s="8">
        <v>5871954.7699999996</v>
      </c>
      <c r="E1701" s="8">
        <v>704634.57</v>
      </c>
      <c r="F1701" s="30">
        <v>28798811.559999999</v>
      </c>
      <c r="G1701" s="7">
        <v>46345</v>
      </c>
      <c r="H1701" s="1" t="s">
        <v>24</v>
      </c>
      <c r="I1701" s="1" t="str">
        <f>IF(G1701&lt;=$K$1,"Pagado","Pendiente")</f>
        <v>Pendiente</v>
      </c>
    </row>
    <row r="1702" spans="1:9" hidden="1">
      <c r="A1702" s="2">
        <v>946100200</v>
      </c>
      <c r="B1702" s="2">
        <v>12</v>
      </c>
      <c r="C1702" s="8">
        <v>22222222.219999999</v>
      </c>
      <c r="D1702" s="8">
        <v>5303701.09</v>
      </c>
      <c r="E1702" s="8">
        <v>636444.13</v>
      </c>
      <c r="F1702" s="30">
        <v>28162367.440000001</v>
      </c>
      <c r="G1702" s="7">
        <v>46377</v>
      </c>
      <c r="H1702" s="1" t="s">
        <v>24</v>
      </c>
      <c r="I1702" s="1" t="str">
        <f>IF(G1702&lt;=$K$1,"Pagado","Pendiente")</f>
        <v>Pendiente</v>
      </c>
    </row>
    <row r="1703" spans="1:9" hidden="1">
      <c r="A1703" s="2">
        <v>946100200</v>
      </c>
      <c r="B1703" s="2">
        <v>13</v>
      </c>
      <c r="C1703" s="8">
        <v>22222222.219999999</v>
      </c>
      <c r="D1703" s="8">
        <v>4119839.24</v>
      </c>
      <c r="E1703" s="8">
        <v>494380.71</v>
      </c>
      <c r="F1703" s="30">
        <v>26836442.170000002</v>
      </c>
      <c r="G1703" s="7">
        <v>46406</v>
      </c>
      <c r="H1703" s="1" t="s">
        <v>24</v>
      </c>
      <c r="I1703" s="1" t="str">
        <f>IF(G1703&lt;=$K$1,"Pagado","Pendiente")</f>
        <v>Pendiente</v>
      </c>
    </row>
    <row r="1704" spans="1:9" hidden="1">
      <c r="A1704" s="2">
        <v>946100200</v>
      </c>
      <c r="B1704" s="2">
        <v>14</v>
      </c>
      <c r="C1704" s="8">
        <v>22222222.219999999</v>
      </c>
      <c r="D1704" s="8">
        <v>3669971.73</v>
      </c>
      <c r="E1704" s="8">
        <v>440396.61</v>
      </c>
      <c r="F1704" s="30">
        <v>26332590.559999999</v>
      </c>
      <c r="G1704" s="7">
        <v>46437</v>
      </c>
      <c r="H1704" s="1" t="s">
        <v>24</v>
      </c>
      <c r="I1704" s="1" t="str">
        <f>IF(G1704&lt;=$K$1,"Pagado","Pendiente")</f>
        <v>Pendiente</v>
      </c>
    </row>
    <row r="1705" spans="1:9" hidden="1">
      <c r="A1705" s="2">
        <v>946100200</v>
      </c>
      <c r="B1705" s="2">
        <v>15</v>
      </c>
      <c r="C1705" s="8">
        <v>22222222.219999999</v>
      </c>
      <c r="D1705" s="8">
        <v>2651850.54</v>
      </c>
      <c r="E1705" s="8">
        <v>318222.07</v>
      </c>
      <c r="F1705" s="30">
        <v>25192294.829999998</v>
      </c>
      <c r="G1705" s="7">
        <v>46465</v>
      </c>
      <c r="H1705" s="1" t="s">
        <v>24</v>
      </c>
      <c r="I1705" s="1" t="str">
        <f>IF(G1705&lt;=$K$1,"Pagado","Pendiente")</f>
        <v>Pendiente</v>
      </c>
    </row>
    <row r="1706" spans="1:9" hidden="1">
      <c r="A1706" s="2">
        <v>946100200</v>
      </c>
      <c r="B1706" s="2">
        <v>16</v>
      </c>
      <c r="C1706" s="8">
        <v>22222222.219999999</v>
      </c>
      <c r="D1706" s="8">
        <v>2201983.04</v>
      </c>
      <c r="E1706" s="8">
        <v>264237.96999999997</v>
      </c>
      <c r="F1706" s="30">
        <v>24688443.23</v>
      </c>
      <c r="G1706" s="7">
        <v>46496</v>
      </c>
      <c r="H1706" s="1" t="s">
        <v>24</v>
      </c>
      <c r="I1706" s="1" t="str">
        <f>IF(G1706&lt;=$K$1,"Pagado","Pendiente")</f>
        <v>Pendiente</v>
      </c>
    </row>
    <row r="1707" spans="1:9" hidden="1">
      <c r="A1707" s="2">
        <v>946100200</v>
      </c>
      <c r="B1707" s="2">
        <v>17</v>
      </c>
      <c r="C1707" s="8">
        <v>22222222.219999999</v>
      </c>
      <c r="D1707" s="8">
        <v>1420634.22</v>
      </c>
      <c r="E1707" s="8">
        <v>170476.1</v>
      </c>
      <c r="F1707" s="30">
        <v>23813332.539999999</v>
      </c>
      <c r="G1707" s="7">
        <v>46526</v>
      </c>
      <c r="H1707" s="1" t="s">
        <v>24</v>
      </c>
      <c r="I1707" s="1" t="str">
        <f>IF(G1707&lt;=$K$1,"Pagado","Pendiente")</f>
        <v>Pendiente</v>
      </c>
    </row>
    <row r="1708" spans="1:9" hidden="1">
      <c r="A1708" s="2">
        <v>946100200</v>
      </c>
      <c r="B1708" s="2">
        <v>18</v>
      </c>
      <c r="C1708" s="8">
        <v>22222222.260000002</v>
      </c>
      <c r="D1708" s="8">
        <v>781348.82</v>
      </c>
      <c r="E1708" s="8">
        <v>93761.86</v>
      </c>
      <c r="F1708" s="30">
        <v>23097332.940000001</v>
      </c>
      <c r="G1708" s="7">
        <v>46559</v>
      </c>
      <c r="H1708" s="1" t="s">
        <v>24</v>
      </c>
      <c r="I1708" s="1" t="str">
        <f>IF(G1708&lt;=$K$1,"Pagado","Pendiente")</f>
        <v>Pendiente</v>
      </c>
    </row>
    <row r="1709" spans="1:9" hidden="1">
      <c r="A1709" s="2">
        <v>945870600</v>
      </c>
      <c r="B1709" s="2">
        <v>1</v>
      </c>
      <c r="C1709" s="8">
        <v>27777777.780000001</v>
      </c>
      <c r="D1709" s="8">
        <v>17773827.5</v>
      </c>
      <c r="E1709" s="8">
        <v>2132859.2999999998</v>
      </c>
      <c r="F1709" s="30">
        <v>47684464.579999998</v>
      </c>
      <c r="G1709" s="6">
        <v>46041</v>
      </c>
      <c r="H1709" s="1" t="s">
        <v>24</v>
      </c>
      <c r="I1709" s="1" t="str">
        <f>IF(G1709&lt;=$K$1,"Pagado","Pendiente")</f>
        <v>Pagado</v>
      </c>
    </row>
    <row r="1710" spans="1:9" hidden="1">
      <c r="A1710" s="2">
        <v>945870600</v>
      </c>
      <c r="B1710" s="2">
        <v>2</v>
      </c>
      <c r="C1710" s="8">
        <v>27777777.780000001</v>
      </c>
      <c r="D1710" s="8">
        <v>15769035.48</v>
      </c>
      <c r="E1710" s="8">
        <v>1892284.26</v>
      </c>
      <c r="F1710" s="30">
        <v>45439097.520000003</v>
      </c>
      <c r="G1710" s="6">
        <v>46072</v>
      </c>
      <c r="H1710" s="1" t="s">
        <v>24</v>
      </c>
      <c r="I1710" s="1" t="str">
        <f>IF(G1710&lt;=$K$1,"Pagado","Pendiente")</f>
        <v>Pagado</v>
      </c>
    </row>
    <row r="1711" spans="1:9" hidden="1">
      <c r="A1711" s="2">
        <v>945870600</v>
      </c>
      <c r="B1711" s="2">
        <v>3</v>
      </c>
      <c r="C1711" s="8">
        <v>27777777.780000001</v>
      </c>
      <c r="D1711" s="8">
        <v>13405176.27</v>
      </c>
      <c r="E1711" s="8">
        <v>1608621.15</v>
      </c>
      <c r="F1711" s="30">
        <v>42791575.200000003</v>
      </c>
      <c r="G1711" s="6">
        <v>46100</v>
      </c>
      <c r="H1711" s="1" t="s">
        <v>24</v>
      </c>
      <c r="I1711" s="1" t="str">
        <f>IF(G1711&lt;=$K$1,"Pagado","Pendiente")</f>
        <v>Pagado</v>
      </c>
    </row>
    <row r="1712" spans="1:9" hidden="1">
      <c r="A1712" s="2">
        <v>843950300</v>
      </c>
      <c r="B1712" s="2">
        <v>19</v>
      </c>
      <c r="C1712" s="8">
        <v>2443352.5499999998</v>
      </c>
      <c r="D1712" s="8">
        <v>5332016.8499999996</v>
      </c>
      <c r="E1712" s="8">
        <f>+F1712-D1712-C1712</f>
        <v>639842.02000000048</v>
      </c>
      <c r="F1712" s="8">
        <v>8415211.4199999999</v>
      </c>
      <c r="G1712" s="7">
        <v>46139</v>
      </c>
      <c r="H1712" s="1" t="s">
        <v>24</v>
      </c>
      <c r="I1712" s="1" t="str">
        <f>IF(G1712&lt;=$K$1,"Pagado","Pendiente")</f>
        <v>Pagado</v>
      </c>
    </row>
    <row r="1713" spans="1:9">
      <c r="A1713" s="2">
        <v>946100200</v>
      </c>
      <c r="B1713" s="2">
        <v>5</v>
      </c>
      <c r="C1713" s="8">
        <v>22222222.219999999</v>
      </c>
      <c r="D1713" s="8">
        <v>9612958.2300000004</v>
      </c>
      <c r="E1713" s="8">
        <v>1153554.98</v>
      </c>
      <c r="F1713" s="30">
        <v>32988735.43</v>
      </c>
      <c r="G1713" s="7">
        <v>46161</v>
      </c>
      <c r="H1713" s="1" t="s">
        <v>24</v>
      </c>
      <c r="I1713" s="1" t="str">
        <f>IF(G1713&lt;=$K$1,"Pagado","Pendiente")</f>
        <v>Pendiente</v>
      </c>
    </row>
    <row r="1714" spans="1:9" hidden="1">
      <c r="A1714" s="2">
        <v>945870600</v>
      </c>
      <c r="B1714" s="2">
        <v>6</v>
      </c>
      <c r="C1714" s="8">
        <v>27777777.780000001</v>
      </c>
      <c r="D1714" s="8">
        <v>12058674.189999999</v>
      </c>
      <c r="E1714" s="8">
        <v>1447040.9</v>
      </c>
      <c r="F1714" s="30">
        <v>41283492.869999997</v>
      </c>
      <c r="G1714" s="6">
        <v>46192</v>
      </c>
      <c r="H1714" s="1" t="s">
        <v>24</v>
      </c>
      <c r="I1714" s="1" t="str">
        <f>IF(G1714&lt;=$K$1,"Pagado","Pendiente")</f>
        <v>Pendiente</v>
      </c>
    </row>
    <row r="1715" spans="1:9" hidden="1">
      <c r="A1715" s="2">
        <v>945870600</v>
      </c>
      <c r="B1715" s="2">
        <v>7</v>
      </c>
      <c r="C1715" s="8">
        <v>27777777.780000001</v>
      </c>
      <c r="D1715" s="8">
        <v>11131083.869999999</v>
      </c>
      <c r="E1715" s="8">
        <v>1335730.07</v>
      </c>
      <c r="F1715" s="30">
        <v>40244591.719999999</v>
      </c>
      <c r="G1715" s="6">
        <v>46223</v>
      </c>
      <c r="H1715" s="1" t="s">
        <v>24</v>
      </c>
      <c r="I1715" s="1" t="str">
        <f>IF(G1715&lt;=$K$1,"Pagado","Pendiente")</f>
        <v>Pendiente</v>
      </c>
    </row>
    <row r="1716" spans="1:9" hidden="1">
      <c r="A1716" s="2">
        <v>945870600</v>
      </c>
      <c r="B1716" s="2">
        <v>8</v>
      </c>
      <c r="C1716" s="8">
        <v>27777777.780000001</v>
      </c>
      <c r="D1716" s="8">
        <v>9874348.6099999994</v>
      </c>
      <c r="E1716" s="8">
        <v>1184921.83</v>
      </c>
      <c r="F1716" s="30">
        <v>38837048.219999999</v>
      </c>
      <c r="G1716" s="6">
        <v>46253</v>
      </c>
      <c r="H1716" s="1" t="s">
        <v>24</v>
      </c>
      <c r="I1716" s="1" t="str">
        <f>IF(G1716&lt;=$K$1,"Pagado","Pendiente")</f>
        <v>Pendiente</v>
      </c>
    </row>
    <row r="1717" spans="1:9" hidden="1">
      <c r="A1717" s="2">
        <v>945870600</v>
      </c>
      <c r="B1717" s="2">
        <v>9</v>
      </c>
      <c r="C1717" s="8">
        <v>27777777.780000001</v>
      </c>
      <c r="D1717" s="8">
        <v>9874348.6099999994</v>
      </c>
      <c r="E1717" s="8">
        <v>1184921.83</v>
      </c>
      <c r="F1717" s="30">
        <v>38837048.219999999</v>
      </c>
      <c r="G1717" s="6">
        <v>46286</v>
      </c>
      <c r="H1717" s="1" t="s">
        <v>24</v>
      </c>
      <c r="I1717" s="1" t="str">
        <f>IF(G1717&lt;=$K$1,"Pagado","Pendiente")</f>
        <v>Pendiente</v>
      </c>
    </row>
    <row r="1718" spans="1:9" hidden="1">
      <c r="A1718" s="2">
        <v>945870600</v>
      </c>
      <c r="B1718" s="2">
        <v>10</v>
      </c>
      <c r="C1718" s="8">
        <v>27777777.780000001</v>
      </c>
      <c r="D1718" s="8">
        <v>7540411.6500000004</v>
      </c>
      <c r="E1718" s="8">
        <v>904849.39</v>
      </c>
      <c r="F1718" s="30">
        <v>36223038.82</v>
      </c>
      <c r="G1718" s="6">
        <v>46314</v>
      </c>
      <c r="H1718" s="1" t="s">
        <v>24</v>
      </c>
      <c r="I1718" s="1" t="str">
        <f>IF(G1718&lt;=$K$1,"Pagado","Pendiente")</f>
        <v>Pendiente</v>
      </c>
    </row>
    <row r="1719" spans="1:9" hidden="1">
      <c r="A1719" s="2">
        <v>945870600</v>
      </c>
      <c r="B1719" s="2">
        <v>11</v>
      </c>
      <c r="C1719" s="8">
        <v>27777777.780000001</v>
      </c>
      <c r="D1719" s="8">
        <v>7420722.5800000001</v>
      </c>
      <c r="E1719" s="8">
        <v>890486.71</v>
      </c>
      <c r="F1719" s="30">
        <v>36088987.07</v>
      </c>
      <c r="G1719" s="6">
        <v>46345</v>
      </c>
      <c r="H1719" s="1" t="s">
        <v>24</v>
      </c>
      <c r="I1719" s="1" t="str">
        <f>IF(G1719&lt;=$K$1,"Pagado","Pendiente")</f>
        <v>Pendiente</v>
      </c>
    </row>
    <row r="1720" spans="1:9" hidden="1">
      <c r="A1720" s="2">
        <v>945870600</v>
      </c>
      <c r="B1720" s="2">
        <v>12</v>
      </c>
      <c r="C1720" s="8">
        <v>27777777.780000001</v>
      </c>
      <c r="D1720" s="8">
        <v>6702588.1399999997</v>
      </c>
      <c r="E1720" s="8">
        <v>804310.57</v>
      </c>
      <c r="F1720" s="30">
        <v>35284676.490000002</v>
      </c>
      <c r="G1720" s="6">
        <v>46377</v>
      </c>
      <c r="H1720" s="1" t="s">
        <v>24</v>
      </c>
      <c r="I1720" s="1" t="str">
        <f>IF(G1720&lt;=$K$1,"Pagado","Pendiente")</f>
        <v>Pendiente</v>
      </c>
    </row>
    <row r="1721" spans="1:9" hidden="1">
      <c r="A1721" s="2">
        <v>945870600</v>
      </c>
      <c r="B1721" s="2">
        <v>13</v>
      </c>
      <c r="C1721" s="8">
        <v>27777777.780000001</v>
      </c>
      <c r="D1721" s="8">
        <v>5206474.72</v>
      </c>
      <c r="E1721" s="8">
        <v>624776.97</v>
      </c>
      <c r="F1721" s="30">
        <v>33609029.469999999</v>
      </c>
      <c r="G1721" s="6">
        <v>46406</v>
      </c>
      <c r="H1721" s="1" t="s">
        <v>24</v>
      </c>
      <c r="I1721" s="1" t="str">
        <f>IF(G1721&lt;=$K$1,"Pagado","Pendiente")</f>
        <v>Pendiente</v>
      </c>
    </row>
    <row r="1722" spans="1:9" hidden="1">
      <c r="A1722" s="2">
        <v>945870600</v>
      </c>
      <c r="B1722" s="2">
        <v>14</v>
      </c>
      <c r="C1722" s="8">
        <v>27777777.780000001</v>
      </c>
      <c r="D1722" s="8">
        <v>4637951.6100000003</v>
      </c>
      <c r="E1722" s="8">
        <v>556554.18999999994</v>
      </c>
      <c r="F1722" s="30">
        <v>32972283.579999998</v>
      </c>
      <c r="G1722" s="6">
        <v>46437</v>
      </c>
      <c r="H1722" s="1" t="s">
        <v>24</v>
      </c>
      <c r="I1722" s="1" t="str">
        <f>IF(G1722&lt;=$K$1,"Pagado","Pendiente")</f>
        <v>Pendiente</v>
      </c>
    </row>
    <row r="1723" spans="1:9" hidden="1">
      <c r="A1723" s="2">
        <v>945870600</v>
      </c>
      <c r="B1723" s="2">
        <v>15</v>
      </c>
      <c r="C1723" s="8">
        <v>27777777.780000001</v>
      </c>
      <c r="D1723" s="8">
        <v>3351294.07</v>
      </c>
      <c r="E1723" s="8">
        <v>402155.29</v>
      </c>
      <c r="F1723" s="30">
        <v>31531227.140000001</v>
      </c>
      <c r="G1723" s="6">
        <v>46465</v>
      </c>
      <c r="H1723" s="1" t="s">
        <v>24</v>
      </c>
      <c r="I1723" s="1" t="str">
        <f>IF(G1723&lt;=$K$1,"Pagado","Pendiente")</f>
        <v>Pendiente</v>
      </c>
    </row>
    <row r="1724" spans="1:9" hidden="1">
      <c r="A1724" s="2">
        <v>945870600</v>
      </c>
      <c r="B1724" s="2">
        <v>16</v>
      </c>
      <c r="C1724" s="8">
        <v>27777777.780000001</v>
      </c>
      <c r="D1724" s="8">
        <v>2782770.97</v>
      </c>
      <c r="E1724" s="8">
        <v>333932.51</v>
      </c>
      <c r="F1724" s="30">
        <v>30894481.260000002</v>
      </c>
      <c r="G1724" s="6">
        <v>46496</v>
      </c>
      <c r="H1724" s="1" t="s">
        <v>24</v>
      </c>
      <c r="I1724" s="1" t="str">
        <f>IF(G1724&lt;=$K$1,"Pagado","Pendiente")</f>
        <v>Pendiente</v>
      </c>
    </row>
    <row r="1725" spans="1:9" hidden="1">
      <c r="A1725" s="2">
        <v>945870600</v>
      </c>
      <c r="B1725" s="2">
        <v>17</v>
      </c>
      <c r="C1725" s="8">
        <v>27777777.780000001</v>
      </c>
      <c r="D1725" s="8">
        <v>1795336.11</v>
      </c>
      <c r="E1725" s="8">
        <v>215440.33</v>
      </c>
      <c r="F1725" s="30">
        <v>29788554.219999999</v>
      </c>
      <c r="G1725" s="6">
        <v>46526</v>
      </c>
      <c r="H1725" s="1" t="s">
        <v>24</v>
      </c>
      <c r="I1725" s="1" t="str">
        <f>IF(G1725&lt;=$K$1,"Pagado","Pendiente")</f>
        <v>Pendiente</v>
      </c>
    </row>
    <row r="1726" spans="1:9" hidden="1">
      <c r="A1726" s="2">
        <v>945870600</v>
      </c>
      <c r="B1726" s="2">
        <v>18</v>
      </c>
      <c r="C1726" s="8">
        <v>27777777.739999998</v>
      </c>
      <c r="D1726" s="8">
        <v>987434.86</v>
      </c>
      <c r="E1726" s="8">
        <v>118492.18</v>
      </c>
      <c r="F1726" s="30">
        <v>28883704.780000001</v>
      </c>
      <c r="G1726" s="6">
        <v>46559</v>
      </c>
      <c r="H1726" s="1" t="s">
        <v>24</v>
      </c>
      <c r="I1726" s="1" t="str">
        <f>IF(G1726&lt;=$K$1,"Pagado","Pendiente")</f>
        <v>Pendiente</v>
      </c>
    </row>
    <row r="1727" spans="1:9" hidden="1">
      <c r="A1727" s="2">
        <v>281431</v>
      </c>
      <c r="B1727" s="2">
        <v>1</v>
      </c>
      <c r="C1727" s="8">
        <v>966274.14853904489</v>
      </c>
      <c r="D1727" s="8">
        <v>7273333.333333333</v>
      </c>
      <c r="E1727" s="8">
        <v>872800</v>
      </c>
      <c r="F1727" s="8">
        <v>9112407.4818723779</v>
      </c>
      <c r="G1727" s="7">
        <v>46038</v>
      </c>
      <c r="H1727" s="1" t="s">
        <v>30</v>
      </c>
      <c r="I1727" s="1" t="str">
        <f>IF(G1727&lt;=$K$1,"Pagado","Pendiente")</f>
        <v>Pagado</v>
      </c>
    </row>
    <row r="1728" spans="1:9" hidden="1">
      <c r="A1728" s="2">
        <v>281431</v>
      </c>
      <c r="B1728" s="2">
        <v>2</v>
      </c>
      <c r="C1728" s="8">
        <v>1001414.3184075812</v>
      </c>
      <c r="D1728" s="8">
        <v>7238193.1634647967</v>
      </c>
      <c r="E1728" s="8">
        <v>868583.17961577559</v>
      </c>
      <c r="F1728" s="8">
        <v>9108190.661488153</v>
      </c>
      <c r="G1728" s="7">
        <v>46069</v>
      </c>
      <c r="H1728" s="1" t="s">
        <v>30</v>
      </c>
      <c r="I1728" s="1" t="str">
        <f>IF(G1728&lt;=$K$1,"Pagado","Pendiente")</f>
        <v>Pagado</v>
      </c>
    </row>
    <row r="1729" spans="1:9" hidden="1">
      <c r="A1729" s="2">
        <v>281431</v>
      </c>
      <c r="B1729" s="2">
        <v>3</v>
      </c>
      <c r="C1729" s="8">
        <v>1037832.4191203369</v>
      </c>
      <c r="D1729" s="8">
        <v>7201775.062752041</v>
      </c>
      <c r="E1729" s="8">
        <v>864213.00753024488</v>
      </c>
      <c r="F1729" s="8">
        <v>9103820.489402622</v>
      </c>
      <c r="G1729" s="7">
        <v>46097</v>
      </c>
      <c r="H1729" s="1" t="s">
        <v>30</v>
      </c>
      <c r="I1729" s="1" t="str">
        <f>IF(G1729&lt;=$K$1,"Pagado","Pendiente")</f>
        <v>Pagado</v>
      </c>
    </row>
    <row r="1730" spans="1:9" hidden="1">
      <c r="A1730" s="2">
        <v>281431</v>
      </c>
      <c r="B1730" s="2">
        <v>4</v>
      </c>
      <c r="C1730" s="8">
        <v>1075574.9247623468</v>
      </c>
      <c r="D1730" s="8">
        <v>7164032.5571100311</v>
      </c>
      <c r="E1730" s="8">
        <v>859683.90685320378</v>
      </c>
      <c r="F1730" s="8">
        <v>9099291.3887255825</v>
      </c>
      <c r="G1730" s="7">
        <v>46128</v>
      </c>
      <c r="H1730" s="1" t="s">
        <v>30</v>
      </c>
      <c r="I1730" s="1" t="str">
        <f>IF(G1730&lt;=$K$1,"Pagado","Pendiente")</f>
        <v>Pagado</v>
      </c>
    </row>
    <row r="1731" spans="1:9">
      <c r="A1731" s="2">
        <v>945870600</v>
      </c>
      <c r="B1731" s="2">
        <v>5</v>
      </c>
      <c r="C1731" s="8">
        <v>27777777.780000001</v>
      </c>
      <c r="D1731" s="8">
        <v>12148441.01</v>
      </c>
      <c r="E1731" s="8">
        <v>1457812.93</v>
      </c>
      <c r="F1731" s="30">
        <v>41384031.719999999</v>
      </c>
      <c r="G1731" s="6">
        <v>46161</v>
      </c>
      <c r="H1731" s="1" t="s">
        <v>24</v>
      </c>
      <c r="I1731" s="1" t="str">
        <f>IF(G1731&lt;=$K$1,"Pagado","Pendiente")</f>
        <v>Pendiente</v>
      </c>
    </row>
    <row r="1732" spans="1:9" hidden="1">
      <c r="A1732" s="2">
        <v>281431</v>
      </c>
      <c r="B1732" s="2">
        <v>6</v>
      </c>
      <c r="C1732" s="8">
        <v>1155227.5591756403</v>
      </c>
      <c r="D1732" s="8">
        <v>7084379.9226967376</v>
      </c>
      <c r="E1732" s="8">
        <v>850125.5907236085</v>
      </c>
      <c r="F1732" s="8">
        <v>9089733.0725959856</v>
      </c>
      <c r="G1732" s="7">
        <v>46189</v>
      </c>
      <c r="H1732" s="1" t="s">
        <v>30</v>
      </c>
      <c r="I1732" s="1" t="str">
        <f>IF(G1732&lt;=$K$1,"Pagado","Pendiente")</f>
        <v>Pendiente</v>
      </c>
    </row>
    <row r="1733" spans="1:9" hidden="1">
      <c r="A1733" s="2">
        <v>281431</v>
      </c>
      <c r="B1733" s="2">
        <v>7</v>
      </c>
      <c r="C1733" s="8">
        <v>1197239.3347443277</v>
      </c>
      <c r="D1733" s="8">
        <v>7042368.1471280502</v>
      </c>
      <c r="E1733" s="8">
        <v>845084.17765536602</v>
      </c>
      <c r="F1733" s="8">
        <v>9084691.6595277432</v>
      </c>
      <c r="G1733" s="7">
        <v>46219</v>
      </c>
      <c r="H1733" s="1" t="s">
        <v>30</v>
      </c>
      <c r="I1733" s="1" t="str">
        <f>IF(G1733&lt;=$K$1,"Pagado","Pendiente")</f>
        <v>Pendiente</v>
      </c>
    </row>
    <row r="1734" spans="1:9" hidden="1">
      <c r="A1734" s="2">
        <v>281431</v>
      </c>
      <c r="B1734" s="2">
        <v>8</v>
      </c>
      <c r="C1734" s="8">
        <v>1240778.9385511968</v>
      </c>
      <c r="D1734" s="8">
        <v>6998828.5433211811</v>
      </c>
      <c r="E1734" s="8">
        <v>839859.42519854172</v>
      </c>
      <c r="F1734" s="8">
        <v>9079466.9070709199</v>
      </c>
      <c r="G1734" s="7">
        <v>46250</v>
      </c>
      <c r="H1734" s="1" t="s">
        <v>30</v>
      </c>
      <c r="I1734" s="1" t="str">
        <f>IF(G1734&lt;=$K$1,"Pagado","Pendiente")</f>
        <v>Pendiente</v>
      </c>
    </row>
    <row r="1735" spans="1:9" hidden="1">
      <c r="A1735" s="2">
        <v>281431</v>
      </c>
      <c r="B1735" s="2">
        <v>9</v>
      </c>
      <c r="C1735" s="8">
        <v>1285901.9326165076</v>
      </c>
      <c r="D1735" s="8">
        <v>6953705.5492558703</v>
      </c>
      <c r="E1735" s="8">
        <v>834444.66591070441</v>
      </c>
      <c r="F1735" s="8">
        <v>9074052.147783082</v>
      </c>
      <c r="G1735" s="7">
        <v>46281</v>
      </c>
      <c r="H1735" s="1" t="s">
        <v>30</v>
      </c>
      <c r="I1735" s="1" t="str">
        <f>IF(G1735&lt;=$K$1,"Pagado","Pendiente")</f>
        <v>Pendiente</v>
      </c>
    </row>
    <row r="1736" spans="1:9" hidden="1">
      <c r="A1736" s="2">
        <v>281431</v>
      </c>
      <c r="B1736" s="2">
        <v>10</v>
      </c>
      <c r="C1736" s="8">
        <v>1332665.8995659947</v>
      </c>
      <c r="D1736" s="8">
        <v>6906941.5823063832</v>
      </c>
      <c r="E1736" s="8">
        <v>828832.98987676599</v>
      </c>
      <c r="F1736" s="8">
        <v>9068440.4717491437</v>
      </c>
      <c r="G1736" s="7">
        <v>46311</v>
      </c>
      <c r="H1736" s="1" t="s">
        <v>30</v>
      </c>
      <c r="I1736" s="1" t="str">
        <f>IF(G1736&lt;=$K$1,"Pagado","Pendiente")</f>
        <v>Pendiente</v>
      </c>
    </row>
    <row r="1737" spans="1:9" hidden="1">
      <c r="A1737" s="2">
        <v>281431</v>
      </c>
      <c r="B1737" s="2">
        <v>11</v>
      </c>
      <c r="C1737" s="8">
        <v>1381130.5161135448</v>
      </c>
      <c r="D1737" s="8">
        <v>6858476.9657588331</v>
      </c>
      <c r="E1737" s="8">
        <v>823017.23589105997</v>
      </c>
      <c r="F1737" s="8">
        <v>9062624.7177634388</v>
      </c>
      <c r="G1737" s="7">
        <v>46342</v>
      </c>
      <c r="H1737" s="1" t="s">
        <v>30</v>
      </c>
      <c r="I1737" s="1" t="str">
        <f>IF(G1737&lt;=$K$1,"Pagado","Pendiente")</f>
        <v>Pendiente</v>
      </c>
    </row>
    <row r="1738" spans="1:9" hidden="1">
      <c r="A1738" s="2">
        <v>281431</v>
      </c>
      <c r="B1738" s="2">
        <v>12</v>
      </c>
      <c r="C1738" s="8">
        <v>1431357.6292162072</v>
      </c>
      <c r="D1738" s="8">
        <v>6808249.8526561707</v>
      </c>
      <c r="E1738" s="8">
        <v>816989.98231874045</v>
      </c>
      <c r="F1738" s="8">
        <v>9056597.4641911183</v>
      </c>
      <c r="G1738" s="7">
        <v>46372</v>
      </c>
      <c r="H1738" s="1" t="s">
        <v>30</v>
      </c>
      <c r="I1738" s="1" t="str">
        <f>IF(G1738&lt;=$K$1,"Pagado","Pendiente")</f>
        <v>Pendiente</v>
      </c>
    </row>
    <row r="1739" spans="1:9" hidden="1">
      <c r="A1739" s="2">
        <v>281431</v>
      </c>
      <c r="B1739" s="2">
        <v>13</v>
      </c>
      <c r="C1739" s="8">
        <v>1483411.3349987036</v>
      </c>
      <c r="D1739" s="8">
        <v>6756196.1468736744</v>
      </c>
      <c r="E1739" s="8">
        <v>810743.53762484097</v>
      </c>
      <c r="F1739" s="8">
        <v>9050351.0194972195</v>
      </c>
      <c r="G1739" s="7">
        <v>46403</v>
      </c>
      <c r="H1739" s="1" t="s">
        <v>30</v>
      </c>
      <c r="I1739" s="1" t="str">
        <f>IF(G1739&lt;=$K$1,"Pagado","Pendiente")</f>
        <v>Pendiente</v>
      </c>
    </row>
    <row r="1740" spans="1:9" hidden="1">
      <c r="A1740" s="2">
        <v>281431</v>
      </c>
      <c r="B1740" s="2">
        <v>14</v>
      </c>
      <c r="C1740" s="8">
        <v>1537358.0605481556</v>
      </c>
      <c r="D1740" s="8">
        <v>6702249.4213242223</v>
      </c>
      <c r="E1740" s="8">
        <v>804269.93055890664</v>
      </c>
      <c r="F1740" s="8">
        <v>9043877.4124312848</v>
      </c>
      <c r="G1740" s="7">
        <v>46434</v>
      </c>
      <c r="H1740" s="1" t="s">
        <v>30</v>
      </c>
      <c r="I1740" s="1" t="str">
        <f>IF(G1740&lt;=$K$1,"Pagado","Pendiente")</f>
        <v>Pendiente</v>
      </c>
    </row>
    <row r="1741" spans="1:9" hidden="1">
      <c r="A1741" s="2">
        <v>281431</v>
      </c>
      <c r="B1741" s="2">
        <v>15</v>
      </c>
      <c r="C1741" s="8">
        <v>1593266.6486834241</v>
      </c>
      <c r="D1741" s="8">
        <v>6646340.8331889538</v>
      </c>
      <c r="E1741" s="8">
        <v>797560.89998267451</v>
      </c>
      <c r="F1741" s="8">
        <v>9037168.381855052</v>
      </c>
      <c r="G1741" s="7">
        <v>46462</v>
      </c>
      <c r="H1741" s="1" t="s">
        <v>30</v>
      </c>
      <c r="I1741" s="1" t="str">
        <f>IF(G1741&lt;=$K$1,"Pagado","Pendiente")</f>
        <v>Pendiente</v>
      </c>
    </row>
    <row r="1742" spans="1:9" hidden="1">
      <c r="A1742" s="2">
        <v>281431</v>
      </c>
      <c r="B1742" s="2">
        <v>16</v>
      </c>
      <c r="C1742" s="8">
        <v>1651208.4458072111</v>
      </c>
      <c r="D1742" s="8">
        <v>6588399.0360651668</v>
      </c>
      <c r="E1742" s="8">
        <v>790607.88432782004</v>
      </c>
      <c r="F1742" s="8">
        <v>9030215.3662001975</v>
      </c>
      <c r="G1742" s="7">
        <v>46493</v>
      </c>
      <c r="H1742" s="1" t="s">
        <v>30</v>
      </c>
      <c r="I1742" s="1" t="str">
        <f>IF(G1742&lt;=$K$1,"Pagado","Pendiente")</f>
        <v>Pendiente</v>
      </c>
    </row>
    <row r="1743" spans="1:9" hidden="1">
      <c r="A1743" s="2">
        <v>281431</v>
      </c>
      <c r="B1743" s="2">
        <v>17</v>
      </c>
      <c r="C1743" s="8">
        <v>1711257.3929530671</v>
      </c>
      <c r="D1743" s="8">
        <v>6528350.0889193108</v>
      </c>
      <c r="E1743" s="8">
        <v>783402.01067031734</v>
      </c>
      <c r="F1743" s="8">
        <v>9023009.4925426953</v>
      </c>
      <c r="G1743" s="7">
        <v>46523</v>
      </c>
      <c r="H1743" s="1" t="s">
        <v>30</v>
      </c>
      <c r="I1743" s="1" t="str">
        <f>IF(G1743&lt;=$K$1,"Pagado","Pendiente")</f>
        <v>Pendiente</v>
      </c>
    </row>
    <row r="1744" spans="1:9" hidden="1">
      <c r="A1744" s="2">
        <v>281431</v>
      </c>
      <c r="B1744" s="2">
        <v>18</v>
      </c>
      <c r="C1744" s="8">
        <v>1773490.1201434601</v>
      </c>
      <c r="D1744" s="8">
        <v>6466117.3617289178</v>
      </c>
      <c r="E1744" s="8">
        <v>775934.08340747014</v>
      </c>
      <c r="F1744" s="8">
        <v>9015541.5652798489</v>
      </c>
      <c r="G1744" s="7">
        <v>46554</v>
      </c>
      <c r="H1744" s="1" t="s">
        <v>30</v>
      </c>
      <c r="I1744" s="1" t="str">
        <f>IF(G1744&lt;=$K$1,"Pagado","Pendiente")</f>
        <v>Pendiente</v>
      </c>
    </row>
    <row r="1745" spans="1:9" hidden="1">
      <c r="A1745" s="2">
        <v>281431</v>
      </c>
      <c r="B1745" s="2">
        <v>19</v>
      </c>
      <c r="C1745" s="8">
        <v>1837986.0441793445</v>
      </c>
      <c r="D1745" s="8">
        <v>6401621.4376930334</v>
      </c>
      <c r="E1745" s="8">
        <v>768194.57252316398</v>
      </c>
      <c r="F1745" s="8">
        <v>9007802.0543955415</v>
      </c>
      <c r="G1745" s="7">
        <v>46584</v>
      </c>
      <c r="H1745" s="1" t="s">
        <v>30</v>
      </c>
      <c r="I1745" s="1" t="str">
        <f>IF(G1745&lt;=$K$1,"Pagado","Pendiente")</f>
        <v>Pendiente</v>
      </c>
    </row>
    <row r="1746" spans="1:9" hidden="1">
      <c r="A1746" s="2">
        <v>281431</v>
      </c>
      <c r="B1746" s="2">
        <v>20</v>
      </c>
      <c r="C1746" s="8">
        <v>1904827.4699860001</v>
      </c>
      <c r="D1746" s="8">
        <v>6334780.0118863778</v>
      </c>
      <c r="E1746" s="8">
        <v>760173.60142636532</v>
      </c>
      <c r="F1746" s="8">
        <v>8999781.0832987428</v>
      </c>
      <c r="G1746" s="7">
        <v>46615</v>
      </c>
      <c r="H1746" s="1" t="s">
        <v>30</v>
      </c>
      <c r="I1746" s="1" t="str">
        <f>IF(G1746&lt;=$K$1,"Pagado","Pendiente")</f>
        <v>Pendiente</v>
      </c>
    </row>
    <row r="1747" spans="1:9" hidden="1">
      <c r="A1747" s="2">
        <v>281431</v>
      </c>
      <c r="B1747" s="2">
        <v>21</v>
      </c>
      <c r="C1747" s="8">
        <v>1974099.6956444904</v>
      </c>
      <c r="D1747" s="8">
        <v>6265507.7862278875</v>
      </c>
      <c r="E1747" s="8">
        <v>751860.93434734654</v>
      </c>
      <c r="F1747" s="8">
        <v>8991468.4162197243</v>
      </c>
      <c r="G1747" s="7">
        <v>46646</v>
      </c>
      <c r="H1747" s="1" t="s">
        <v>30</v>
      </c>
      <c r="I1747" s="1" t="str">
        <f>IF(G1747&lt;=$K$1,"Pagado","Pendiente")</f>
        <v>Pendiente</v>
      </c>
    </row>
    <row r="1748" spans="1:9" hidden="1">
      <c r="A1748" s="2">
        <v>281431</v>
      </c>
      <c r="B1748" s="2">
        <v>22</v>
      </c>
      <c r="C1748" s="8">
        <v>2045891.1212427625</v>
      </c>
      <c r="D1748" s="8">
        <v>6193716.3606296154</v>
      </c>
      <c r="E1748" s="8">
        <v>743245.96327555389</v>
      </c>
      <c r="F1748" s="8">
        <v>8982853.4451479316</v>
      </c>
      <c r="G1748" s="7">
        <v>46676</v>
      </c>
      <c r="H1748" s="1" t="s">
        <v>30</v>
      </c>
      <c r="I1748" s="1" t="str">
        <f>IF(G1748&lt;=$K$1,"Pagado","Pendiente")</f>
        <v>Pendiente</v>
      </c>
    </row>
    <row r="1749" spans="1:9" hidden="1">
      <c r="A1749" s="2">
        <v>281431</v>
      </c>
      <c r="B1749" s="2">
        <v>23</v>
      </c>
      <c r="C1749" s="8">
        <v>2120293.3616852909</v>
      </c>
      <c r="D1749" s="8">
        <v>6119314.120187087</v>
      </c>
      <c r="E1749" s="8">
        <v>734317.69442245038</v>
      </c>
      <c r="F1749" s="8">
        <v>8973925.1762948278</v>
      </c>
      <c r="G1749" s="7">
        <v>46707</v>
      </c>
      <c r="H1749" s="1" t="s">
        <v>30</v>
      </c>
      <c r="I1749" s="1" t="str">
        <f>IF(G1749&lt;=$K$1,"Pagado","Pendiente")</f>
        <v>Pendiente</v>
      </c>
    </row>
    <row r="1750" spans="1:9" hidden="1">
      <c r="A1750" s="2">
        <v>281431</v>
      </c>
      <c r="B1750" s="2">
        <v>24</v>
      </c>
      <c r="C1750" s="8">
        <v>2197401.3636052459</v>
      </c>
      <c r="D1750" s="8">
        <v>6042206.118267132</v>
      </c>
      <c r="E1750" s="8">
        <v>725064.73419205588</v>
      </c>
      <c r="F1750" s="8">
        <v>8964672.2160644345</v>
      </c>
      <c r="G1750" s="7">
        <v>46737</v>
      </c>
      <c r="H1750" s="1" t="s">
        <v>30</v>
      </c>
      <c r="I1750" s="1" t="str">
        <f>IF(G1750&lt;=$K$1,"Pagado","Pendiente")</f>
        <v>Pendiente</v>
      </c>
    </row>
    <row r="1751" spans="1:9" hidden="1">
      <c r="A1751" s="2">
        <v>281431</v>
      </c>
      <c r="B1751" s="2">
        <v>25</v>
      </c>
      <c r="C1751" s="8">
        <v>2277313.5265283575</v>
      </c>
      <c r="D1751" s="8">
        <v>5962293.9553440204</v>
      </c>
      <c r="E1751" s="8">
        <v>715475.27464128239</v>
      </c>
      <c r="F1751" s="8">
        <v>8955082.7565136608</v>
      </c>
      <c r="G1751" s="7">
        <v>46768</v>
      </c>
      <c r="H1751" s="1" t="s">
        <v>30</v>
      </c>
      <c r="I1751" s="1" t="str">
        <f>IF(G1751&lt;=$K$1,"Pagado","Pendiente")</f>
        <v>Pendiente</v>
      </c>
    </row>
    <row r="1752" spans="1:9" hidden="1">
      <c r="A1752" s="2">
        <v>281431</v>
      </c>
      <c r="B1752" s="2">
        <v>26</v>
      </c>
      <c r="C1752" s="8">
        <v>2360131.8284431053</v>
      </c>
      <c r="D1752" s="8">
        <v>5879475.6534292726</v>
      </c>
      <c r="E1752" s="8">
        <v>705537.07841151266</v>
      </c>
      <c r="F1752" s="8">
        <v>8945144.56028389</v>
      </c>
      <c r="G1752" s="7">
        <v>46799</v>
      </c>
      <c r="H1752" s="1" t="s">
        <v>30</v>
      </c>
      <c r="I1752" s="1" t="str">
        <f>IF(G1752&lt;=$K$1,"Pagado","Pendiente")</f>
        <v>Pendiente</v>
      </c>
    </row>
    <row r="1753" spans="1:9" hidden="1">
      <c r="A1753" s="2">
        <v>281431</v>
      </c>
      <c r="B1753" s="2">
        <v>27</v>
      </c>
      <c r="C1753" s="8">
        <v>2445961.9559374871</v>
      </c>
      <c r="D1753" s="8">
        <v>5793645.5259348908</v>
      </c>
      <c r="E1753" s="8">
        <v>695237.46311218687</v>
      </c>
      <c r="F1753" s="8">
        <v>8934844.9449845646</v>
      </c>
      <c r="G1753" s="7">
        <v>46828</v>
      </c>
      <c r="H1753" s="1" t="s">
        <v>30</v>
      </c>
      <c r="I1753" s="1" t="str">
        <f>IF(G1753&lt;=$K$1,"Pagado","Pendiente")</f>
        <v>Pendiente</v>
      </c>
    </row>
    <row r="1754" spans="1:9" hidden="1">
      <c r="A1754" s="2">
        <v>281431</v>
      </c>
      <c r="B1754" s="2">
        <v>28</v>
      </c>
      <c r="C1754" s="8">
        <v>2534913.4390684133</v>
      </c>
      <c r="D1754" s="8">
        <v>5704694.0428039646</v>
      </c>
      <c r="E1754" s="8">
        <v>684563.28513647569</v>
      </c>
      <c r="F1754" s="8">
        <v>8924170.7670088541</v>
      </c>
      <c r="G1754" s="7">
        <v>46859</v>
      </c>
      <c r="H1754" s="1" t="s">
        <v>30</v>
      </c>
      <c r="I1754" s="1" t="str">
        <f>IF(G1754&lt;=$K$1,"Pagado","Pendiente")</f>
        <v>Pendiente</v>
      </c>
    </row>
    <row r="1755" spans="1:9" hidden="1">
      <c r="A1755" s="2">
        <v>281431</v>
      </c>
      <c r="B1755" s="2">
        <v>29</v>
      </c>
      <c r="C1755" s="8">
        <v>2627099.7911358671</v>
      </c>
      <c r="D1755" s="8">
        <v>5612507.6907365108</v>
      </c>
      <c r="E1755" s="8">
        <v>673500.92288838129</v>
      </c>
      <c r="F1755" s="8">
        <v>8913108.4047607593</v>
      </c>
      <c r="G1755" s="7">
        <v>46889</v>
      </c>
      <c r="H1755" s="1" t="s">
        <v>30</v>
      </c>
      <c r="I1755" s="1" t="str">
        <f>IF(G1755&lt;=$K$1,"Pagado","Pendiente")</f>
        <v>Pendiente</v>
      </c>
    </row>
    <row r="1756" spans="1:9" hidden="1">
      <c r="A1756" s="2">
        <v>281431</v>
      </c>
      <c r="B1756" s="2">
        <v>30</v>
      </c>
      <c r="C1756" s="8">
        <v>2722638.6535401754</v>
      </c>
      <c r="D1756" s="8">
        <v>5516968.8283322025</v>
      </c>
      <c r="E1756" s="8">
        <v>662036.25939986436</v>
      </c>
      <c r="F1756" s="8">
        <v>8901643.7412722427</v>
      </c>
      <c r="G1756" s="7">
        <v>46920</v>
      </c>
      <c r="H1756" s="1" t="s">
        <v>30</v>
      </c>
      <c r="I1756" s="1" t="str">
        <f>IF(G1756&lt;=$K$1,"Pagado","Pendiente")</f>
        <v>Pendiente</v>
      </c>
    </row>
    <row r="1757" spans="1:9" hidden="1">
      <c r="A1757" s="2">
        <v>281431</v>
      </c>
      <c r="B1757" s="2">
        <v>31</v>
      </c>
      <c r="C1757" s="8">
        <v>2821651.9459072528</v>
      </c>
      <c r="D1757" s="8">
        <v>5417955.5359651251</v>
      </c>
      <c r="E1757" s="8">
        <v>650154.66431581497</v>
      </c>
      <c r="F1757" s="8">
        <v>8889762.1461881921</v>
      </c>
      <c r="G1757" s="7">
        <v>46950</v>
      </c>
      <c r="H1757" s="1" t="s">
        <v>30</v>
      </c>
      <c r="I1757" s="1" t="str">
        <f>IF(G1757&lt;=$K$1,"Pagado","Pendiente")</f>
        <v>Pendiente</v>
      </c>
    </row>
    <row r="1758" spans="1:9" hidden="1">
      <c r="A1758" s="2">
        <v>281431</v>
      </c>
      <c r="B1758" s="2">
        <v>32</v>
      </c>
      <c r="C1758" s="8">
        <v>2924266.0216734139</v>
      </c>
      <c r="D1758" s="8">
        <v>5315341.460198964</v>
      </c>
      <c r="E1758" s="8">
        <v>637840.97522387572</v>
      </c>
      <c r="F1758" s="8">
        <v>8877448.4570962545</v>
      </c>
      <c r="G1758" s="7">
        <v>46981</v>
      </c>
      <c r="H1758" s="1" t="s">
        <v>30</v>
      </c>
      <c r="I1758" s="1" t="str">
        <f>IF(G1758&lt;=$K$1,"Pagado","Pendiente")</f>
        <v>Pendiente</v>
      </c>
    </row>
    <row r="1759" spans="1:9" hidden="1">
      <c r="A1759" s="2">
        <v>281431</v>
      </c>
      <c r="B1759" s="2">
        <v>33</v>
      </c>
      <c r="C1759" s="8">
        <v>3030611.8293282697</v>
      </c>
      <c r="D1759" s="8">
        <v>5208995.6525441082</v>
      </c>
      <c r="E1759" s="8">
        <v>625079.47830529301</v>
      </c>
      <c r="F1759" s="8">
        <v>8864686.9601776712</v>
      </c>
      <c r="G1759" s="7">
        <v>47012</v>
      </c>
      <c r="H1759" s="1" t="s">
        <v>30</v>
      </c>
      <c r="I1759" s="1" t="str">
        <f>IF(G1759&lt;=$K$1,"Pagado","Pendiente")</f>
        <v>Pendiente</v>
      </c>
    </row>
    <row r="1760" spans="1:9" hidden="1">
      <c r="A1760" s="2">
        <v>281431</v>
      </c>
      <c r="B1760" s="2">
        <v>34</v>
      </c>
      <c r="C1760" s="8">
        <v>3140825.079521508</v>
      </c>
      <c r="D1760" s="8">
        <v>5098782.40235087</v>
      </c>
      <c r="E1760" s="8">
        <v>611853.8882821044</v>
      </c>
      <c r="F1760" s="8">
        <v>8851461.3701544814</v>
      </c>
      <c r="G1760" s="7">
        <v>47042</v>
      </c>
      <c r="H1760" s="1" t="s">
        <v>30</v>
      </c>
      <c r="I1760" s="1" t="str">
        <f>IF(G1760&lt;=$K$1,"Pagado","Pendiente")</f>
        <v>Pendiente</v>
      </c>
    </row>
    <row r="1761" spans="1:9" hidden="1">
      <c r="A1761" s="2">
        <v>281431</v>
      </c>
      <c r="B1761" s="2">
        <v>35</v>
      </c>
      <c r="C1761" s="8">
        <v>3255046.4182467731</v>
      </c>
      <c r="D1761" s="8">
        <v>4984561.0636256048</v>
      </c>
      <c r="E1761" s="8">
        <v>598147.32763507264</v>
      </c>
      <c r="F1761" s="8">
        <v>8837754.8095074501</v>
      </c>
      <c r="G1761" s="7">
        <v>47073</v>
      </c>
      <c r="H1761" s="1" t="s">
        <v>30</v>
      </c>
      <c r="I1761" s="1" t="str">
        <f>IF(G1761&lt;=$K$1,"Pagado","Pendiente")</f>
        <v>Pendiente</v>
      </c>
    </row>
    <row r="1762" spans="1:9" hidden="1">
      <c r="A1762" s="2">
        <v>281431</v>
      </c>
      <c r="B1762" s="2">
        <v>36</v>
      </c>
      <c r="C1762" s="8">
        <v>3373421.6063236808</v>
      </c>
      <c r="D1762" s="8">
        <v>4866185.8755486971</v>
      </c>
      <c r="E1762" s="8">
        <v>583942.30506584363</v>
      </c>
      <c r="F1762" s="8">
        <v>8823549.7869382221</v>
      </c>
      <c r="G1762" s="7">
        <v>47103</v>
      </c>
      <c r="H1762" s="1" t="s">
        <v>30</v>
      </c>
      <c r="I1762" s="1" t="str">
        <f>IF(G1762&lt;=$K$1,"Pagado","Pendiente")</f>
        <v>Pendiente</v>
      </c>
    </row>
    <row r="1763" spans="1:9" hidden="1">
      <c r="A1763" s="2">
        <v>281431</v>
      </c>
      <c r="B1763" s="2">
        <v>37</v>
      </c>
      <c r="C1763" s="8">
        <v>3496101.7054069852</v>
      </c>
      <c r="D1763" s="8">
        <v>4743505.7764653927</v>
      </c>
      <c r="E1763" s="8">
        <v>569220.69317584718</v>
      </c>
      <c r="F1763" s="8">
        <v>8808828.1750482246</v>
      </c>
      <c r="G1763" s="7">
        <v>47134</v>
      </c>
      <c r="H1763" s="1" t="s">
        <v>30</v>
      </c>
      <c r="I1763" s="1" t="str">
        <f>IF(G1763&lt;=$K$1,"Pagado","Pendiente")</f>
        <v>Pendiente</v>
      </c>
    </row>
    <row r="1764" spans="1:9" hidden="1">
      <c r="A1764" s="2">
        <v>281431</v>
      </c>
      <c r="B1764" s="2">
        <v>38</v>
      </c>
      <c r="C1764" s="8">
        <v>3623243.2707602857</v>
      </c>
      <c r="D1764" s="8">
        <v>4616364.2111120922</v>
      </c>
      <c r="E1764" s="8">
        <v>553963.70533345104</v>
      </c>
      <c r="F1764" s="8">
        <v>8793571.1872058287</v>
      </c>
      <c r="G1764" s="7">
        <v>47165</v>
      </c>
      <c r="H1764" s="1" t="s">
        <v>30</v>
      </c>
      <c r="I1764" s="1" t="str">
        <f>IF(G1764&lt;=$K$1,"Pagado","Pendiente")</f>
        <v>Pendiente</v>
      </c>
    </row>
    <row r="1765" spans="1:9" hidden="1">
      <c r="A1765" s="2">
        <v>281431</v>
      </c>
      <c r="B1765" s="2">
        <v>39</v>
      </c>
      <c r="C1765" s="8">
        <v>3755008.5510402685</v>
      </c>
      <c r="D1765" s="8">
        <v>4484598.9308321094</v>
      </c>
      <c r="E1765" s="8">
        <v>538151.8716998531</v>
      </c>
      <c r="F1765" s="8">
        <v>8777759.3535722308</v>
      </c>
      <c r="G1765" s="7">
        <v>47193</v>
      </c>
      <c r="H1765" s="1" t="s">
        <v>30</v>
      </c>
      <c r="I1765" s="1" t="str">
        <f>IF(G1765&lt;=$K$1,"Pagado","Pendiente")</f>
        <v>Pendiente</v>
      </c>
    </row>
    <row r="1766" spans="1:9" hidden="1">
      <c r="A1766" s="2">
        <v>281431</v>
      </c>
      <c r="B1766" s="2">
        <v>40</v>
      </c>
      <c r="C1766" s="8">
        <v>3891565.6953464327</v>
      </c>
      <c r="D1766" s="8">
        <v>4348041.7865259452</v>
      </c>
      <c r="E1766" s="8">
        <v>521765.01438311342</v>
      </c>
      <c r="F1766" s="8">
        <v>8761372.4962554909</v>
      </c>
      <c r="G1766" s="7">
        <v>47224</v>
      </c>
      <c r="H1766" s="1" t="s">
        <v>30</v>
      </c>
      <c r="I1766" s="1" t="str">
        <f>IF(G1766&lt;=$K$1,"Pagado","Pendiente")</f>
        <v>Pendiente</v>
      </c>
    </row>
    <row r="1767" spans="1:9" hidden="1">
      <c r="A1767" s="2">
        <v>281431</v>
      </c>
      <c r="B1767" s="2">
        <v>41</v>
      </c>
      <c r="C1767" s="8">
        <v>4033088.9678005306</v>
      </c>
      <c r="D1767" s="8">
        <v>4206518.5140718473</v>
      </c>
      <c r="E1767" s="8">
        <v>504782.22168862168</v>
      </c>
      <c r="F1767" s="8">
        <v>8744389.7035610005</v>
      </c>
      <c r="G1767" s="7">
        <v>47254</v>
      </c>
      <c r="H1767" s="1" t="s">
        <v>30</v>
      </c>
      <c r="I1767" s="1" t="str">
        <f>IF(G1767&lt;=$K$1,"Pagado","Pendiente")</f>
        <v>Pendiente</v>
      </c>
    </row>
    <row r="1768" spans="1:9" hidden="1">
      <c r="A1768" s="2">
        <v>281431</v>
      </c>
      <c r="B1768" s="2">
        <v>42</v>
      </c>
      <c r="C1768" s="8">
        <v>4179758.9699295433</v>
      </c>
      <c r="D1768" s="8">
        <v>4059848.5119428346</v>
      </c>
      <c r="E1768" s="8">
        <v>487181.82143314014</v>
      </c>
      <c r="F1768" s="8">
        <v>8726789.3033055179</v>
      </c>
      <c r="G1768" s="7">
        <v>47285</v>
      </c>
      <c r="H1768" s="1" t="s">
        <v>30</v>
      </c>
      <c r="I1768" s="1" t="str">
        <f>IF(G1768&lt;=$K$1,"Pagado","Pendiente")</f>
        <v>Pendiente</v>
      </c>
    </row>
    <row r="1769" spans="1:9" hidden="1">
      <c r="A1769" s="2">
        <v>281431</v>
      </c>
      <c r="B1769" s="2">
        <v>43</v>
      </c>
      <c r="C1769" s="8">
        <v>4331762.8711359818</v>
      </c>
      <c r="D1769" s="8">
        <v>3907844.6107363966</v>
      </c>
      <c r="E1769" s="8">
        <v>468941.35328836762</v>
      </c>
      <c r="F1769" s="8">
        <v>8708548.8351607453</v>
      </c>
      <c r="G1769" s="7">
        <v>47315</v>
      </c>
      <c r="H1769" s="1" t="s">
        <v>30</v>
      </c>
      <c r="I1769" s="1" t="str">
        <f>IF(G1769&lt;=$K$1,"Pagado","Pendiente")</f>
        <v>Pendiente</v>
      </c>
    </row>
    <row r="1770" spans="1:9" hidden="1">
      <c r="A1770" s="2">
        <v>281431</v>
      </c>
      <c r="B1770" s="2">
        <v>44</v>
      </c>
      <c r="C1770" s="8">
        <v>4489294.6475496264</v>
      </c>
      <c r="D1770" s="8">
        <v>3750312.8343227515</v>
      </c>
      <c r="E1770" s="8">
        <v>450037.54011873016</v>
      </c>
      <c r="F1770" s="8">
        <v>8689645.0219911076</v>
      </c>
      <c r="G1770" s="7">
        <v>47346</v>
      </c>
      <c r="H1770" s="1" t="s">
        <v>30</v>
      </c>
      <c r="I1770" s="1" t="str">
        <f>IF(G1770&lt;=$K$1,"Pagado","Pendiente")</f>
        <v>Pendiente</v>
      </c>
    </row>
    <row r="1771" spans="1:9" hidden="1">
      <c r="A1771" s="2">
        <v>281431</v>
      </c>
      <c r="B1771" s="2">
        <v>45</v>
      </c>
      <c r="C1771" s="8">
        <v>4652555.3295655148</v>
      </c>
      <c r="D1771" s="8">
        <v>3587052.1523068631</v>
      </c>
      <c r="E1771" s="8">
        <v>430446.25827682356</v>
      </c>
      <c r="F1771" s="8">
        <v>8670053.7401492018</v>
      </c>
      <c r="G1771" s="7">
        <v>47377</v>
      </c>
      <c r="H1771" s="1" t="s">
        <v>30</v>
      </c>
      <c r="I1771" s="1" t="str">
        <f>IF(G1771&lt;=$K$1,"Pagado","Pendiente")</f>
        <v>Pendiente</v>
      </c>
    </row>
    <row r="1772" spans="1:9" hidden="1">
      <c r="A1772" s="2">
        <v>281431</v>
      </c>
      <c r="B1772" s="2">
        <v>46</v>
      </c>
      <c r="C1772" s="8">
        <v>4821753.2583840471</v>
      </c>
      <c r="D1772" s="8">
        <v>3417854.2234883308</v>
      </c>
      <c r="E1772" s="8">
        <v>410142.50681859971</v>
      </c>
      <c r="F1772" s="8">
        <v>8649749.9886909779</v>
      </c>
      <c r="G1772" s="7">
        <v>47407</v>
      </c>
      <c r="H1772" s="1" t="s">
        <v>30</v>
      </c>
      <c r="I1772" s="1" t="str">
        <f>IF(G1772&lt;=$K$1,"Pagado","Pendiente")</f>
        <v>Pendiente</v>
      </c>
    </row>
    <row r="1773" spans="1:9" hidden="1">
      <c r="A1773" s="2">
        <v>281431</v>
      </c>
      <c r="B1773" s="2">
        <v>47</v>
      </c>
      <c r="C1773" s="8">
        <v>4997104.3518806137</v>
      </c>
      <c r="D1773" s="8">
        <v>3242503.1299917642</v>
      </c>
      <c r="E1773" s="8">
        <v>389100.37559901172</v>
      </c>
      <c r="F1773" s="8">
        <v>8628707.8574713897</v>
      </c>
      <c r="G1773" s="7">
        <v>47438</v>
      </c>
      <c r="H1773" s="1" t="s">
        <v>30</v>
      </c>
      <c r="I1773" s="1" t="str">
        <f>IF(G1773&lt;=$K$1,"Pagado","Pendiente")</f>
        <v>Pendiente</v>
      </c>
    </row>
    <row r="1774" spans="1:9" hidden="1">
      <c r="A1774" s="2">
        <v>281431</v>
      </c>
      <c r="B1774" s="2">
        <v>48</v>
      </c>
      <c r="C1774" s="8">
        <v>5178832.3801440056</v>
      </c>
      <c r="D1774" s="8">
        <v>3060775.1017283727</v>
      </c>
      <c r="E1774" s="8">
        <v>367293.01220740471</v>
      </c>
      <c r="F1774" s="8">
        <v>8606900.4940797836</v>
      </c>
      <c r="G1774" s="7">
        <v>47468</v>
      </c>
      <c r="H1774" s="1" t="s">
        <v>30</v>
      </c>
      <c r="I1774" s="1" t="str">
        <f>IF(G1774&lt;=$K$1,"Pagado","Pendiente")</f>
        <v>Pendiente</v>
      </c>
    </row>
    <row r="1775" spans="1:9" hidden="1">
      <c r="A1775" s="2">
        <v>281431</v>
      </c>
      <c r="B1775" s="2">
        <v>49</v>
      </c>
      <c r="C1775" s="8">
        <v>5367169.2510352414</v>
      </c>
      <c r="D1775" s="8">
        <v>2872438.230837136</v>
      </c>
      <c r="E1775" s="8">
        <v>344692.58770045632</v>
      </c>
      <c r="F1775" s="8">
        <v>8584300.0695728343</v>
      </c>
      <c r="G1775" s="7">
        <v>47499</v>
      </c>
      <c r="H1775" s="1" t="s">
        <v>30</v>
      </c>
      <c r="I1775" s="1" t="str">
        <f>IF(G1775&lt;=$K$1,"Pagado","Pendiente")</f>
        <v>Pendiente</v>
      </c>
    </row>
    <row r="1776" spans="1:9" hidden="1">
      <c r="A1776" s="2">
        <v>281431</v>
      </c>
      <c r="B1776" s="2">
        <v>50</v>
      </c>
      <c r="C1776" s="8">
        <v>5562355.3061312232</v>
      </c>
      <c r="D1776" s="8">
        <v>2677252.1757411542</v>
      </c>
      <c r="E1776" s="8">
        <v>321270.26108893851</v>
      </c>
      <c r="F1776" s="8">
        <v>8560877.7429613154</v>
      </c>
      <c r="G1776" s="7">
        <v>47530</v>
      </c>
      <c r="H1776" s="1" t="s">
        <v>30</v>
      </c>
      <c r="I1776" s="1" t="str">
        <f>IF(G1776&lt;=$K$1,"Pagado","Pendiente")</f>
        <v>Pendiente</v>
      </c>
    </row>
    <row r="1777" spans="1:10" hidden="1">
      <c r="A1777" s="2">
        <v>281431</v>
      </c>
      <c r="B1777" s="2">
        <v>51</v>
      </c>
      <c r="C1777" s="8">
        <v>5764639.6274308627</v>
      </c>
      <c r="D1777" s="8">
        <v>2474967.8544415152</v>
      </c>
      <c r="E1777" s="8">
        <v>296996.14253298182</v>
      </c>
      <c r="F1777" s="8">
        <v>8536603.6244053598</v>
      </c>
      <c r="G1777" s="7">
        <v>47558</v>
      </c>
      <c r="H1777" s="1" t="s">
        <v>30</v>
      </c>
      <c r="I1777" s="1" t="str">
        <f>IF(G1777&lt;=$K$1,"Pagado","Pendiente")</f>
        <v>Pendiente</v>
      </c>
    </row>
    <row r="1778" spans="1:10" hidden="1">
      <c r="A1778" s="2">
        <v>281431</v>
      </c>
      <c r="B1778" s="2">
        <v>52</v>
      </c>
      <c r="C1778" s="8">
        <v>5974280.3552150987</v>
      </c>
      <c r="D1778" s="8">
        <v>2265327.1266572797</v>
      </c>
      <c r="E1778" s="8">
        <v>271839.25519887358</v>
      </c>
      <c r="F1778" s="8">
        <v>8511446.7370712515</v>
      </c>
      <c r="G1778" s="7">
        <v>47589</v>
      </c>
      <c r="H1778" s="1" t="s">
        <v>30</v>
      </c>
      <c r="I1778" s="1" t="str">
        <f>IF(G1778&lt;=$K$1,"Pagado","Pendiente")</f>
        <v>Pendiente</v>
      </c>
    </row>
    <row r="1779" spans="1:10" hidden="1">
      <c r="A1779" s="2">
        <v>281431</v>
      </c>
      <c r="B1779" s="2">
        <v>53</v>
      </c>
      <c r="C1779" s="8">
        <v>6191545.0174664203</v>
      </c>
      <c r="D1779" s="8">
        <v>2048062.4644059574</v>
      </c>
      <c r="E1779" s="8">
        <v>245767.49572871489</v>
      </c>
      <c r="F1779" s="8">
        <v>8485374.9776010923</v>
      </c>
      <c r="G1779" s="7">
        <v>47619</v>
      </c>
      <c r="H1779" s="1" t="s">
        <v>30</v>
      </c>
      <c r="I1779" s="1" t="str">
        <f>IF(G1779&lt;=$K$1,"Pagado","Pendiente")</f>
        <v>Pendiente</v>
      </c>
    </row>
    <row r="1780" spans="1:10" hidden="1">
      <c r="A1780" s="2">
        <v>281431</v>
      </c>
      <c r="B1780" s="2">
        <v>54</v>
      </c>
      <c r="C1780" s="8">
        <v>6416710.8712682826</v>
      </c>
      <c r="D1780" s="8">
        <v>1822896.6106040953</v>
      </c>
      <c r="E1780" s="8">
        <v>218747.59327249145</v>
      </c>
      <c r="F1780" s="8">
        <v>8458355.0751448702</v>
      </c>
      <c r="G1780" s="7">
        <v>47650</v>
      </c>
      <c r="H1780" s="1" t="s">
        <v>30</v>
      </c>
      <c r="I1780" s="1" t="str">
        <f>IF(G1780&lt;=$K$1,"Pagado","Pendiente")</f>
        <v>Pendiente</v>
      </c>
    </row>
    <row r="1781" spans="1:10" hidden="1">
      <c r="A1781" s="2">
        <v>281431</v>
      </c>
      <c r="B1781" s="2">
        <v>55</v>
      </c>
      <c r="C1781" s="8">
        <v>6650065.2566200728</v>
      </c>
      <c r="D1781" s="8">
        <v>1589542.2252523054</v>
      </c>
      <c r="E1781" s="8">
        <v>190745.06703027664</v>
      </c>
      <c r="F1781" s="8">
        <v>8430352.548902655</v>
      </c>
      <c r="G1781" s="7">
        <v>47680</v>
      </c>
      <c r="H1781" s="1" t="s">
        <v>30</v>
      </c>
      <c r="I1781" s="1" t="str">
        <f>IF(G1781&lt;=$K$1,"Pagado","Pendiente")</f>
        <v>Pendiente</v>
      </c>
    </row>
    <row r="1782" spans="1:10" hidden="1">
      <c r="A1782" s="2">
        <v>281431</v>
      </c>
      <c r="B1782" s="2">
        <v>56</v>
      </c>
      <c r="C1782" s="8">
        <v>6891905.9631191557</v>
      </c>
      <c r="D1782" s="8">
        <v>1347701.5187532222</v>
      </c>
      <c r="E1782" s="8">
        <v>161724.18225038666</v>
      </c>
      <c r="F1782" s="8">
        <v>8401331.664122764</v>
      </c>
      <c r="G1782" s="7">
        <v>47711</v>
      </c>
      <c r="H1782" s="1" t="s">
        <v>30</v>
      </c>
      <c r="I1782" s="1" t="str">
        <f>IF(G1782&lt;=$K$1,"Pagado","Pendiente")</f>
        <v>Pendiente</v>
      </c>
    </row>
    <row r="1783" spans="1:10" hidden="1">
      <c r="A1783" s="2">
        <v>281431</v>
      </c>
      <c r="B1783" s="2">
        <v>57</v>
      </c>
      <c r="C1783" s="8">
        <v>7142541.6099779224</v>
      </c>
      <c r="D1783" s="8">
        <v>1097065.8718944555</v>
      </c>
      <c r="E1783" s="8">
        <v>131647.90462733468</v>
      </c>
      <c r="F1783" s="8">
        <v>8371255.3864997122</v>
      </c>
      <c r="G1783" s="7">
        <v>47742</v>
      </c>
      <c r="H1783" s="1" t="s">
        <v>30</v>
      </c>
      <c r="I1783" s="1" t="str">
        <f>IF(G1783&lt;=$K$1,"Pagado","Pendiente")</f>
        <v>Pendiente</v>
      </c>
    </row>
    <row r="1784" spans="1:10" hidden="1">
      <c r="A1784" s="2">
        <v>281431</v>
      </c>
      <c r="B1784" s="2">
        <v>58</v>
      </c>
      <c r="C1784" s="8">
        <v>7402292.0398607859</v>
      </c>
      <c r="D1784" s="8">
        <v>837315.44201159163</v>
      </c>
      <c r="E1784" s="8">
        <v>100477.85304139099</v>
      </c>
      <c r="F1784" s="8">
        <v>8340085.3349137688</v>
      </c>
      <c r="G1784" s="7">
        <v>47772</v>
      </c>
      <c r="H1784" s="1" t="s">
        <v>30</v>
      </c>
      <c r="I1784" s="1" t="str">
        <f>IF(G1784&lt;=$K$1,"Pagado","Pendiente")</f>
        <v>Pendiente</v>
      </c>
    </row>
    <row r="1785" spans="1:10" hidden="1">
      <c r="A1785" s="2">
        <v>281431</v>
      </c>
      <c r="B1785" s="2">
        <v>59</v>
      </c>
      <c r="C1785" s="8">
        <v>7671488.7270437237</v>
      </c>
      <c r="D1785" s="8">
        <v>568118.75482865446</v>
      </c>
      <c r="E1785" s="8">
        <v>68174.250579438536</v>
      </c>
      <c r="F1785" s="8">
        <v>8307781.732451817</v>
      </c>
      <c r="G1785" s="7">
        <v>47803</v>
      </c>
      <c r="H1785" s="1" t="s">
        <v>30</v>
      </c>
      <c r="I1785" s="1" t="str">
        <f>IF(G1785&lt;=$K$1,"Pagado","Pendiente")</f>
        <v>Pendiente</v>
      </c>
    </row>
    <row r="1786" spans="1:10" hidden="1">
      <c r="A1786" s="2">
        <v>281431</v>
      </c>
      <c r="B1786" s="2">
        <v>60</v>
      </c>
      <c r="C1786" s="8">
        <v>7950475.2004172131</v>
      </c>
      <c r="D1786" s="8">
        <v>289132.28145516431</v>
      </c>
      <c r="E1786" s="8">
        <v>34695.873774619715</v>
      </c>
      <c r="F1786" s="8">
        <v>8274303.3556469968</v>
      </c>
      <c r="G1786" s="7">
        <v>47833</v>
      </c>
      <c r="H1786" s="1" t="s">
        <v>30</v>
      </c>
      <c r="I1786" s="1" t="str">
        <f>IF(G1786&lt;=$K$1,"Pagado","Pendiente")</f>
        <v>Pendiente</v>
      </c>
    </row>
    <row r="1787" spans="1:10">
      <c r="A1787" s="2">
        <v>963148500</v>
      </c>
      <c r="B1787" s="2">
        <v>1</v>
      </c>
      <c r="C1787" s="8">
        <v>21875000</v>
      </c>
      <c r="D1787" s="8">
        <v>10868595.5</v>
      </c>
      <c r="E1787" s="8">
        <v>1304231.46</v>
      </c>
      <c r="F1787" s="8">
        <v>34047826.960000001</v>
      </c>
      <c r="G1787" s="7">
        <v>46149</v>
      </c>
      <c r="H1787" s="1" t="s">
        <v>24</v>
      </c>
      <c r="I1787" s="1" t="str">
        <f>IF(G1787&lt;=$K$1,"Pagado","Pendiente")</f>
        <v>Pendiente</v>
      </c>
      <c r="J1787" s="1"/>
    </row>
    <row r="1788" spans="1:10" hidden="1">
      <c r="A1788" s="2">
        <v>963148500</v>
      </c>
      <c r="B1788" s="2">
        <v>2</v>
      </c>
      <c r="C1788" s="8">
        <v>21875000</v>
      </c>
      <c r="D1788" s="8">
        <v>10868595.48</v>
      </c>
      <c r="E1788" s="8">
        <v>1304231.46</v>
      </c>
      <c r="F1788" s="8">
        <v>34047826.939999998</v>
      </c>
      <c r="G1788" s="7">
        <v>46181</v>
      </c>
      <c r="H1788" s="1" t="s">
        <v>24</v>
      </c>
      <c r="I1788" s="1" t="str">
        <f>IF(G1788&lt;=$K$1,"Pagado","Pendiente")</f>
        <v>Pendiente</v>
      </c>
    </row>
    <row r="1789" spans="1:10" hidden="1">
      <c r="A1789" s="2">
        <v>963148500</v>
      </c>
      <c r="B1789" s="2">
        <v>3</v>
      </c>
      <c r="C1789" s="40">
        <v>21875000</v>
      </c>
      <c r="D1789" s="8">
        <v>9193020.3399999999</v>
      </c>
      <c r="E1789" s="8">
        <v>1103162.45</v>
      </c>
      <c r="F1789" s="8">
        <v>32171182.789999999</v>
      </c>
      <c r="G1789" s="7">
        <v>46210</v>
      </c>
      <c r="H1789" s="1" t="s">
        <v>24</v>
      </c>
      <c r="I1789" s="1" t="str">
        <f>IF(G1789&lt;=$K$1,"Pagado","Pendiente")</f>
        <v>Pendiente</v>
      </c>
    </row>
    <row r="1790" spans="1:10" hidden="1">
      <c r="A1790" s="2">
        <v>963148500</v>
      </c>
      <c r="B1790" s="2">
        <v>4</v>
      </c>
      <c r="C1790" s="24">
        <v>21875000</v>
      </c>
      <c r="D1790" s="8">
        <v>9125091.6300000008</v>
      </c>
      <c r="E1790" s="24">
        <v>1095010.99</v>
      </c>
      <c r="F1790" s="8">
        <v>32095102.620000001</v>
      </c>
      <c r="G1790" s="7">
        <v>46241</v>
      </c>
      <c r="H1790" s="1" t="s">
        <v>24</v>
      </c>
      <c r="I1790" s="1" t="str">
        <f>IF(G1790&lt;=$K$1,"Pagado","Pendiente")</f>
        <v>Pendiente</v>
      </c>
    </row>
    <row r="1791" spans="1:10" hidden="1">
      <c r="A1791" s="2">
        <v>963148500</v>
      </c>
      <c r="B1791" s="2">
        <v>5</v>
      </c>
      <c r="C1791" s="40">
        <v>21875000</v>
      </c>
      <c r="D1791" s="8">
        <v>8423161.5</v>
      </c>
      <c r="E1791" s="39">
        <v>1010779.38</v>
      </c>
      <c r="F1791" s="8">
        <v>31308940.879999999</v>
      </c>
      <c r="G1791" s="7">
        <v>46272</v>
      </c>
      <c r="H1791" s="1" t="s">
        <v>24</v>
      </c>
      <c r="I1791" s="1" t="str">
        <f>IF(G1791&lt;=$K$1,"Pagado","Pendiente")</f>
        <v>Pendiente</v>
      </c>
    </row>
    <row r="1792" spans="1:10" hidden="1">
      <c r="A1792" s="2">
        <v>963148500</v>
      </c>
      <c r="B1792" s="2">
        <v>6</v>
      </c>
      <c r="C1792" s="26">
        <v>21875000</v>
      </c>
      <c r="D1792" s="21">
        <v>7721231.3799999999</v>
      </c>
      <c r="E1792" s="26">
        <v>926547.76</v>
      </c>
      <c r="F1792" s="8">
        <v>30522779.140000001</v>
      </c>
      <c r="G1792" s="7">
        <v>46303</v>
      </c>
      <c r="H1792" s="1" t="s">
        <v>24</v>
      </c>
      <c r="I1792" s="1" t="str">
        <f>IF(G1792&lt;=$K$1,"Pagado","Pendiente")</f>
        <v>Pendiente</v>
      </c>
    </row>
    <row r="1793" spans="1:9" hidden="1">
      <c r="A1793" s="2">
        <v>963148500</v>
      </c>
      <c r="B1793" s="2">
        <v>7</v>
      </c>
      <c r="C1793" s="40">
        <v>21875000</v>
      </c>
      <c r="D1793" s="8">
        <v>7245730.3200000003</v>
      </c>
      <c r="E1793" s="39">
        <v>869487.63</v>
      </c>
      <c r="F1793" s="8">
        <v>29990217.949999999</v>
      </c>
      <c r="G1793" s="7">
        <v>46335</v>
      </c>
      <c r="H1793" s="1" t="s">
        <v>24</v>
      </c>
      <c r="I1793" s="1" t="str">
        <f>IF(G1793&lt;=$K$1,"Pagado","Pendiente")</f>
        <v>Pendiente</v>
      </c>
    </row>
    <row r="1794" spans="1:9" hidden="1">
      <c r="A1794" s="2">
        <v>963148500</v>
      </c>
      <c r="B1794" s="2">
        <v>8</v>
      </c>
      <c r="C1794" s="40">
        <v>21875000</v>
      </c>
      <c r="D1794" s="8">
        <v>6113584.9699999997</v>
      </c>
      <c r="E1794" s="40">
        <v>733630.19</v>
      </c>
      <c r="F1794" s="8">
        <v>28722215.16</v>
      </c>
      <c r="G1794" s="7">
        <v>46365</v>
      </c>
      <c r="H1794" s="1" t="s">
        <v>24</v>
      </c>
      <c r="I1794" s="1" t="str">
        <f>IF(G1794&lt;=$K$1,"Pagado","Pendiente")</f>
        <v>Pendiente</v>
      </c>
    </row>
    <row r="1795" spans="1:9" hidden="1">
      <c r="A1795" s="2">
        <v>963148500</v>
      </c>
      <c r="B1795" s="2">
        <v>9</v>
      </c>
      <c r="C1795" s="40">
        <v>21875000</v>
      </c>
      <c r="D1795" s="8">
        <v>5253154.4800000004</v>
      </c>
      <c r="E1795" s="40">
        <v>630378.54</v>
      </c>
      <c r="F1795" s="8">
        <v>27758533.02</v>
      </c>
      <c r="G1795" s="7">
        <v>46394</v>
      </c>
      <c r="H1795" s="1" t="s">
        <v>24</v>
      </c>
      <c r="I1795" s="1" t="str">
        <f>IF(G1795&lt;=$K$1,"Pagado","Pendiente")</f>
        <v>Pendiente</v>
      </c>
    </row>
    <row r="1796" spans="1:9" hidden="1">
      <c r="A1796" s="2">
        <v>963148500</v>
      </c>
      <c r="B1796" s="2">
        <v>10</v>
      </c>
      <c r="C1796" s="40">
        <v>21875000</v>
      </c>
      <c r="D1796" s="8">
        <v>5072011.22</v>
      </c>
      <c r="E1796" s="39">
        <v>608641.35</v>
      </c>
      <c r="F1796" s="8">
        <v>27555652.57</v>
      </c>
      <c r="G1796" s="7">
        <v>46426</v>
      </c>
      <c r="H1796" s="1" t="s">
        <v>24</v>
      </c>
      <c r="I1796" s="1" t="str">
        <f>IF(G1796&lt;=$K$1,"Pagado","Pendiente")</f>
        <v>Pendiente</v>
      </c>
    </row>
    <row r="1797" spans="1:9" hidden="1">
      <c r="A1797" s="2">
        <v>963148500</v>
      </c>
      <c r="B1797" s="2">
        <v>11</v>
      </c>
      <c r="C1797" s="40">
        <v>21875000</v>
      </c>
      <c r="D1797" s="8">
        <v>3804008.42</v>
      </c>
      <c r="E1797" s="40">
        <v>456481.01</v>
      </c>
      <c r="F1797" s="8">
        <v>26135489.43</v>
      </c>
      <c r="G1797" s="7">
        <v>46454</v>
      </c>
      <c r="H1797" s="1" t="s">
        <v>24</v>
      </c>
      <c r="I1797" s="1" t="str">
        <f>IF(G1797&lt;=$K$1,"Pagado","Pendiente")</f>
        <v>Pendiente</v>
      </c>
    </row>
    <row r="1798" spans="1:9" hidden="1">
      <c r="A1798" s="2">
        <v>963148500</v>
      </c>
      <c r="B1798" s="2">
        <v>12</v>
      </c>
      <c r="C1798" s="40">
        <v>21875000</v>
      </c>
      <c r="D1798" s="8">
        <v>3396436.09</v>
      </c>
      <c r="E1798" s="40">
        <v>407572.33</v>
      </c>
      <c r="F1798" s="8">
        <v>25679008.420000002</v>
      </c>
      <c r="G1798" s="7">
        <v>46484</v>
      </c>
      <c r="H1798" s="1" t="s">
        <v>24</v>
      </c>
      <c r="I1798" s="1" t="str">
        <f>IF(G1798&lt;=$K$1,"Pagado","Pendiente")</f>
        <v>Pendiente</v>
      </c>
    </row>
    <row r="1799" spans="1:9" hidden="1">
      <c r="A1799" s="2">
        <v>963148500</v>
      </c>
      <c r="B1799" s="2">
        <v>13</v>
      </c>
      <c r="C1799" s="40">
        <v>21875000</v>
      </c>
      <c r="D1799" s="8">
        <v>2717148.88</v>
      </c>
      <c r="E1799" s="8">
        <v>326057.86</v>
      </c>
      <c r="F1799" s="8">
        <v>24918206.739999998</v>
      </c>
      <c r="G1799" s="7">
        <v>46514</v>
      </c>
      <c r="H1799" s="1" t="s">
        <v>24</v>
      </c>
      <c r="I1799" s="1" t="str">
        <f>IF(G1799&lt;=$K$1,"Pagado","Pendiente")</f>
        <v>Pendiente</v>
      </c>
    </row>
    <row r="1800" spans="1:9" hidden="1">
      <c r="A1800" s="2">
        <v>963148500</v>
      </c>
      <c r="B1800" s="2">
        <v>14</v>
      </c>
      <c r="C1800" s="8">
        <v>21875000</v>
      </c>
      <c r="D1800" s="8">
        <v>2105790.38</v>
      </c>
      <c r="E1800" s="8">
        <v>252694.85</v>
      </c>
      <c r="F1800" s="8">
        <v>24233485.23</v>
      </c>
      <c r="G1800" s="7">
        <v>46545</v>
      </c>
      <c r="H1800" s="1" t="s">
        <v>24</v>
      </c>
      <c r="I1800" s="1" t="str">
        <f>IF(G1800&lt;=$K$1,"Pagado","Pendiente")</f>
        <v>Pendiente</v>
      </c>
    </row>
    <row r="1801" spans="1:9" hidden="1">
      <c r="A1801" s="2">
        <v>963148500</v>
      </c>
      <c r="B1801" s="2">
        <v>15</v>
      </c>
      <c r="C1801" s="8">
        <v>21875000</v>
      </c>
      <c r="D1801" s="8">
        <v>1358574.44</v>
      </c>
      <c r="E1801" s="8">
        <v>163028.94</v>
      </c>
      <c r="F1801" s="8">
        <v>23396603.379999999</v>
      </c>
      <c r="G1801" s="7">
        <v>46575</v>
      </c>
      <c r="H1801" s="1" t="s">
        <v>24</v>
      </c>
      <c r="I1801" s="1" t="str">
        <f>IF(G1801&lt;=$K$1,"Pagado","Pendiente")</f>
        <v>Pendiente</v>
      </c>
    </row>
    <row r="1802" spans="1:9" hidden="1">
      <c r="A1802" s="2">
        <v>963148500</v>
      </c>
      <c r="B1802" s="2">
        <v>16</v>
      </c>
      <c r="C1802" s="8">
        <v>21875000</v>
      </c>
      <c r="D1802" s="8">
        <v>747215.94</v>
      </c>
      <c r="E1802" s="8">
        <v>89665.91</v>
      </c>
      <c r="F1802" s="8">
        <v>22711881.850000001</v>
      </c>
      <c r="G1802" s="7">
        <v>46608</v>
      </c>
      <c r="H1802" s="1" t="s">
        <v>24</v>
      </c>
      <c r="I1802" s="1" t="str">
        <f>IF(G1802&lt;=$K$1,"Pagado","Pendiente")</f>
        <v>Pendiente</v>
      </c>
    </row>
    <row r="1803" spans="1:9">
      <c r="A1803" s="2">
        <v>957186200</v>
      </c>
      <c r="B1803" s="2">
        <v>3</v>
      </c>
      <c r="C1803" s="8">
        <v>27777777.777777776</v>
      </c>
      <c r="D1803" s="8">
        <v>15051851.851851851</v>
      </c>
      <c r="E1803" s="8">
        <v>1806222.222222222</v>
      </c>
      <c r="F1803" s="8">
        <v>44635851.851851851</v>
      </c>
      <c r="G1803" s="7">
        <v>46167</v>
      </c>
      <c r="H1803" s="1" t="s">
        <v>24</v>
      </c>
    </row>
    <row r="1804" spans="1:9" hidden="1">
      <c r="A1804" s="2">
        <v>292466</v>
      </c>
      <c r="B1804" s="2">
        <v>2</v>
      </c>
      <c r="C1804" s="8">
        <v>5955003.5099999998</v>
      </c>
      <c r="D1804" s="8">
        <v>5907548.7599999998</v>
      </c>
      <c r="E1804" s="8">
        <v>708905.84</v>
      </c>
      <c r="F1804" s="8">
        <v>12571458.109999999</v>
      </c>
      <c r="G1804" s="7">
        <v>46181</v>
      </c>
      <c r="H1804" s="1" t="s">
        <v>30</v>
      </c>
      <c r="I1804" s="1" t="str">
        <f>IF(G1804&lt;=$K$1,"Pagado","Pendiente")</f>
        <v>Pendiente</v>
      </c>
    </row>
    <row r="1805" spans="1:9" hidden="1">
      <c r="A1805" s="2">
        <v>292466</v>
      </c>
      <c r="B1805" s="2">
        <v>3</v>
      </c>
      <c r="C1805" s="8">
        <v>6136134.8700000001</v>
      </c>
      <c r="D1805" s="8">
        <v>5726417.4000000004</v>
      </c>
      <c r="E1805" s="8">
        <v>687170.08</v>
      </c>
      <c r="F1805" s="8">
        <v>12549722.35</v>
      </c>
      <c r="G1805" s="7">
        <v>46211</v>
      </c>
      <c r="H1805" s="1" t="s">
        <v>30</v>
      </c>
      <c r="I1805" s="1" t="str">
        <f>IF(G1805&lt;=$K$1,"Pagado","Pendiente")</f>
        <v>Pendiente</v>
      </c>
    </row>
    <row r="1806" spans="1:9" hidden="1">
      <c r="A1806" s="2">
        <v>292466</v>
      </c>
      <c r="B1806" s="2">
        <v>4</v>
      </c>
      <c r="C1806" s="8">
        <v>6322775.6399999997</v>
      </c>
      <c r="D1806" s="8">
        <v>5539776.6299999999</v>
      </c>
      <c r="E1806" s="8">
        <v>664773.18000000005</v>
      </c>
      <c r="F1806" s="8">
        <v>12527325.449999999</v>
      </c>
      <c r="G1806" s="7">
        <v>46242</v>
      </c>
      <c r="H1806" s="1" t="s">
        <v>30</v>
      </c>
      <c r="I1806" s="1" t="str">
        <f>IF(G1806&lt;=$K$1,"Pagado","Pendiente")</f>
        <v>Pendiente</v>
      </c>
    </row>
    <row r="1807" spans="1:9" hidden="1">
      <c r="A1807" s="2">
        <v>292466</v>
      </c>
      <c r="B1807" s="2">
        <v>5</v>
      </c>
      <c r="C1807" s="8">
        <v>6515093.4000000004</v>
      </c>
      <c r="D1807" s="8">
        <v>5347458.87</v>
      </c>
      <c r="E1807" s="8">
        <v>641695.06000000006</v>
      </c>
      <c r="F1807" s="8">
        <v>12504247.33</v>
      </c>
      <c r="G1807" s="7">
        <v>46273</v>
      </c>
      <c r="H1807" s="1" t="s">
        <v>30</v>
      </c>
      <c r="I1807" s="1" t="str">
        <f>IF(G1807&lt;=$K$1,"Pagado","Pendiente")</f>
        <v>Pendiente</v>
      </c>
    </row>
    <row r="1808" spans="1:9" hidden="1">
      <c r="A1808" s="2">
        <v>292466</v>
      </c>
      <c r="B1808" s="2">
        <v>6</v>
      </c>
      <c r="C1808" s="8">
        <v>6713260.8200000003</v>
      </c>
      <c r="D1808" s="8">
        <v>5149291.45</v>
      </c>
      <c r="E1808" s="8">
        <v>617914.97</v>
      </c>
      <c r="F1808" s="8">
        <v>12480467.24</v>
      </c>
      <c r="G1808" s="7">
        <v>46303</v>
      </c>
      <c r="H1808" s="1" t="s">
        <v>30</v>
      </c>
      <c r="I1808" s="1" t="str">
        <f>IF(G1808&lt;=$K$1,"Pagado","Pendiente")</f>
        <v>Pendiente</v>
      </c>
    </row>
    <row r="1809" spans="1:9" hidden="1">
      <c r="A1809" s="2">
        <v>292466</v>
      </c>
      <c r="B1809" s="2">
        <v>7</v>
      </c>
      <c r="C1809" s="8">
        <v>6917455.8399999999</v>
      </c>
      <c r="D1809" s="8">
        <v>4945096.43</v>
      </c>
      <c r="E1809" s="8">
        <v>593411.56000000006</v>
      </c>
      <c r="F1809" s="8">
        <v>12455963.83</v>
      </c>
      <c r="G1809" s="7">
        <v>46334</v>
      </c>
      <c r="H1809" s="1" t="s">
        <v>30</v>
      </c>
      <c r="I1809" s="1" t="str">
        <f>IF(G1809&lt;=$K$1,"Pagado","Pendiente")</f>
        <v>Pendiente</v>
      </c>
    </row>
    <row r="1810" spans="1:9" hidden="1">
      <c r="A1810" s="2">
        <v>292466</v>
      </c>
      <c r="B1810" s="2">
        <v>8</v>
      </c>
      <c r="C1810" s="8">
        <v>7127861.79</v>
      </c>
      <c r="D1810" s="8">
        <v>4734690.4800000004</v>
      </c>
      <c r="E1810" s="8">
        <v>568162.85</v>
      </c>
      <c r="F1810" s="8">
        <v>12430715.119999999</v>
      </c>
      <c r="G1810" s="7">
        <v>46364</v>
      </c>
      <c r="H1810" s="1" t="s">
        <v>30</v>
      </c>
      <c r="I1810" s="1" t="str">
        <f>IF(G1810&lt;=$K$1,"Pagado","Pendiente")</f>
        <v>Pendiente</v>
      </c>
    </row>
    <row r="1811" spans="1:9" hidden="1">
      <c r="A1811" s="2">
        <v>292466</v>
      </c>
      <c r="B1811" s="2">
        <v>9</v>
      </c>
      <c r="C1811" s="8">
        <v>7344667.5800000001</v>
      </c>
      <c r="D1811" s="8">
        <v>4517884.6900000004</v>
      </c>
      <c r="E1811" s="8">
        <v>542146.16</v>
      </c>
      <c r="F1811" s="8">
        <v>12404698.43</v>
      </c>
      <c r="G1811" s="7">
        <v>46395</v>
      </c>
      <c r="H1811" s="1" t="s">
        <v>30</v>
      </c>
      <c r="I1811" s="1" t="str">
        <f>IF(G1811&lt;=$K$1,"Pagado","Pendiente")</f>
        <v>Pendiente</v>
      </c>
    </row>
    <row r="1812" spans="1:9" hidden="1">
      <c r="A1812" s="2">
        <v>292466</v>
      </c>
      <c r="B1812" s="2">
        <v>10</v>
      </c>
      <c r="C1812" s="8">
        <v>7568067.8899999997</v>
      </c>
      <c r="D1812" s="8">
        <v>4294484.38</v>
      </c>
      <c r="E1812" s="8">
        <v>515338.11</v>
      </c>
      <c r="F1812" s="8">
        <v>12377890.380000001</v>
      </c>
      <c r="G1812" s="7">
        <v>46426</v>
      </c>
      <c r="H1812" s="1" t="s">
        <v>30</v>
      </c>
      <c r="I1812" s="1" t="str">
        <f>IF(G1812&lt;=$K$1,"Pagado","Pendiente")</f>
        <v>Pendiente</v>
      </c>
    </row>
    <row r="1813" spans="1:9" hidden="1">
      <c r="A1813" s="2">
        <v>292466</v>
      </c>
      <c r="B1813" s="2">
        <v>11</v>
      </c>
      <c r="C1813" s="8">
        <v>7798263.29</v>
      </c>
      <c r="D1813" s="8">
        <v>4064288.98</v>
      </c>
      <c r="E1813" s="8">
        <v>487714.67</v>
      </c>
      <c r="F1813" s="8">
        <v>12350266.939999999</v>
      </c>
      <c r="G1813" s="7">
        <v>46454</v>
      </c>
      <c r="H1813" s="1" t="s">
        <v>30</v>
      </c>
      <c r="I1813" s="1" t="str">
        <f>IF(G1813&lt;=$K$1,"Pagado","Pendiente")</f>
        <v>Pendiente</v>
      </c>
    </row>
    <row r="1814" spans="1:9" hidden="1">
      <c r="A1814" s="2">
        <v>292466</v>
      </c>
      <c r="B1814" s="2">
        <v>12</v>
      </c>
      <c r="C1814" s="8">
        <v>8035460.46</v>
      </c>
      <c r="D1814" s="8">
        <v>3827091.81</v>
      </c>
      <c r="E1814" s="8">
        <v>459251.01</v>
      </c>
      <c r="F1814" s="8">
        <v>12321803.279999999</v>
      </c>
      <c r="G1814" s="7">
        <v>46485</v>
      </c>
      <c r="H1814" s="1" t="s">
        <v>30</v>
      </c>
      <c r="I1814" s="1" t="str">
        <f>IF(G1814&lt;=$K$1,"Pagado","Pendiente")</f>
        <v>Pendiente</v>
      </c>
    </row>
    <row r="1815" spans="1:9" hidden="1">
      <c r="A1815" s="2">
        <v>292466</v>
      </c>
      <c r="B1815" s="2">
        <v>13</v>
      </c>
      <c r="C1815" s="8">
        <v>8279872.3799999999</v>
      </c>
      <c r="D1815" s="8">
        <v>3582679.89</v>
      </c>
      <c r="E1815" s="8">
        <v>429921.57</v>
      </c>
      <c r="F1815" s="8">
        <v>12292473.84</v>
      </c>
      <c r="G1815" s="7">
        <v>46515</v>
      </c>
      <c r="H1815" s="1" t="s">
        <v>30</v>
      </c>
      <c r="I1815" s="1" t="str">
        <f>IF(G1815&lt;=$K$1,"Pagado","Pendiente")</f>
        <v>Pendiente</v>
      </c>
    </row>
    <row r="1816" spans="1:9" hidden="1">
      <c r="A1816" s="2">
        <v>292466</v>
      </c>
      <c r="B1816" s="2">
        <v>14</v>
      </c>
      <c r="C1816" s="8">
        <v>8531718.5</v>
      </c>
      <c r="D1816" s="8">
        <v>3330833.77</v>
      </c>
      <c r="E1816" s="8">
        <v>399700.04</v>
      </c>
      <c r="F1816" s="8">
        <v>12262252.310000001</v>
      </c>
      <c r="G1816" s="7">
        <v>46546</v>
      </c>
      <c r="H1816" s="1" t="s">
        <v>30</v>
      </c>
      <c r="I1816" s="1" t="str">
        <f>IF(G1816&lt;=$K$1,"Pagado","Pendiente")</f>
        <v>Pendiente</v>
      </c>
    </row>
    <row r="1817" spans="1:9" hidden="1">
      <c r="A1817" s="2">
        <v>292466</v>
      </c>
      <c r="B1817" s="2">
        <v>15</v>
      </c>
      <c r="C1817" s="8">
        <v>8791224.9399999995</v>
      </c>
      <c r="D1817" s="8">
        <v>3071327.33</v>
      </c>
      <c r="E1817" s="8">
        <v>368559.26</v>
      </c>
      <c r="F1817" s="8">
        <v>12231111.529999999</v>
      </c>
      <c r="G1817" s="7">
        <v>46576</v>
      </c>
      <c r="H1817" s="1" t="s">
        <v>30</v>
      </c>
      <c r="I1817" s="1" t="str">
        <f>IF(G1817&lt;=$K$1,"Pagado","Pendiente")</f>
        <v>Pendiente</v>
      </c>
    </row>
    <row r="1818" spans="1:9" hidden="1">
      <c r="A1818" s="2">
        <v>292466</v>
      </c>
      <c r="B1818" s="2">
        <v>16</v>
      </c>
      <c r="C1818" s="8">
        <v>9058624.6999999993</v>
      </c>
      <c r="D1818" s="8">
        <v>2803927.57</v>
      </c>
      <c r="E1818" s="8">
        <v>336471.3</v>
      </c>
      <c r="F1818" s="8">
        <v>12199023.57</v>
      </c>
      <c r="G1818" s="7">
        <v>46607</v>
      </c>
      <c r="H1818" s="1" t="s">
        <v>30</v>
      </c>
      <c r="I1818" s="1" t="str">
        <f>IF(G1818&lt;=$K$1,"Pagado","Pendiente")</f>
        <v>Pendiente</v>
      </c>
    </row>
    <row r="1819" spans="1:9" hidden="1">
      <c r="A1819" s="2">
        <v>292466</v>
      </c>
      <c r="B1819" s="2">
        <v>17</v>
      </c>
      <c r="C1819" s="8">
        <v>9334157.8699999992</v>
      </c>
      <c r="D1819" s="8">
        <v>2528394.4</v>
      </c>
      <c r="E1819" s="8">
        <v>303407.32</v>
      </c>
      <c r="F1819" s="8">
        <v>12165959.59</v>
      </c>
      <c r="G1819" s="7">
        <v>46638</v>
      </c>
      <c r="H1819" s="1" t="s">
        <v>30</v>
      </c>
      <c r="I1819" s="1" t="str">
        <f>IF(G1819&lt;=$K$1,"Pagado","Pendiente")</f>
        <v>Pendiente</v>
      </c>
    </row>
    <row r="1820" spans="1:9" hidden="1">
      <c r="A1820" s="2">
        <v>292466</v>
      </c>
      <c r="B1820" s="2">
        <v>18</v>
      </c>
      <c r="C1820" s="8">
        <v>9618071.8399999999</v>
      </c>
      <c r="D1820" s="8">
        <v>2244480.4300000002</v>
      </c>
      <c r="E1820" s="8">
        <v>269337.64</v>
      </c>
      <c r="F1820" s="8">
        <v>12131889.91</v>
      </c>
      <c r="G1820" s="7">
        <v>46668</v>
      </c>
      <c r="H1820" s="1" t="s">
        <v>30</v>
      </c>
      <c r="I1820" s="1" t="str">
        <f>IF(G1820&lt;=$K$1,"Pagado","Pendiente")</f>
        <v>Pendiente</v>
      </c>
    </row>
    <row r="1821" spans="1:9" hidden="1">
      <c r="A1821" s="2">
        <v>292466</v>
      </c>
      <c r="B1821" s="2">
        <v>19</v>
      </c>
      <c r="C1821" s="8">
        <v>9910621.5199999996</v>
      </c>
      <c r="D1821" s="8">
        <v>1951930.75</v>
      </c>
      <c r="E1821" s="8">
        <v>234231.67999999999</v>
      </c>
      <c r="F1821" s="8">
        <v>12096783.949999999</v>
      </c>
      <c r="G1821" s="7">
        <v>46699</v>
      </c>
      <c r="H1821" s="1" t="s">
        <v>30</v>
      </c>
      <c r="I1821" s="1" t="str">
        <f>IF(G1821&lt;=$K$1,"Pagado","Pendiente")</f>
        <v>Pendiente</v>
      </c>
    </row>
    <row r="1822" spans="1:9" hidden="1">
      <c r="A1822" s="2">
        <v>292466</v>
      </c>
      <c r="B1822" s="2">
        <v>20</v>
      </c>
      <c r="C1822" s="8">
        <v>10212069.59</v>
      </c>
      <c r="D1822" s="8">
        <v>1650482.68</v>
      </c>
      <c r="E1822" s="8">
        <v>198057.92</v>
      </c>
      <c r="F1822" s="8">
        <v>12060610.189999999</v>
      </c>
      <c r="G1822" s="7">
        <v>46729</v>
      </c>
      <c r="H1822" s="1" t="s">
        <v>30</v>
      </c>
      <c r="I1822" s="1" t="str">
        <f>IF(G1822&lt;=$K$1,"Pagado","Pendiente")</f>
        <v>Pendiente</v>
      </c>
    </row>
    <row r="1823" spans="1:9" hidden="1">
      <c r="A1823" s="2">
        <v>292466</v>
      </c>
      <c r="B1823" s="2">
        <v>21</v>
      </c>
      <c r="C1823" s="8">
        <v>10522686.710000001</v>
      </c>
      <c r="D1823" s="8">
        <v>1339865.56</v>
      </c>
      <c r="E1823" s="8">
        <v>160783.85999999999</v>
      </c>
      <c r="F1823" s="8">
        <v>12023336.130000001</v>
      </c>
      <c r="G1823" s="7">
        <v>46760</v>
      </c>
      <c r="H1823" s="1" t="s">
        <v>30</v>
      </c>
      <c r="I1823" s="1" t="str">
        <f>IF(G1823&lt;=$K$1,"Pagado","Pendiente")</f>
        <v>Pendiente</v>
      </c>
    </row>
    <row r="1824" spans="1:9" hidden="1">
      <c r="A1824" s="2">
        <v>292466</v>
      </c>
      <c r="B1824" s="2">
        <v>22</v>
      </c>
      <c r="C1824" s="8">
        <v>10842751.76</v>
      </c>
      <c r="D1824" s="8">
        <v>1019800.51</v>
      </c>
      <c r="E1824" s="8">
        <v>122376.05</v>
      </c>
      <c r="F1824" s="8">
        <v>11984928.32</v>
      </c>
      <c r="G1824" s="7">
        <v>46791</v>
      </c>
      <c r="H1824" s="1" t="s">
        <v>30</v>
      </c>
      <c r="I1824" s="1" t="str">
        <f>IF(G1824&lt;=$K$1,"Pagado","Pendiente")</f>
        <v>Pendiente</v>
      </c>
    </row>
    <row r="1825" spans="1:10" hidden="1">
      <c r="A1825" s="2">
        <v>292466</v>
      </c>
      <c r="B1825" s="2">
        <v>23</v>
      </c>
      <c r="C1825" s="8">
        <v>11172552.130000001</v>
      </c>
      <c r="D1825" s="8">
        <v>690000.14</v>
      </c>
      <c r="E1825" s="8">
        <v>82800.009999999995</v>
      </c>
      <c r="F1825" s="8">
        <v>11945352.279999999</v>
      </c>
      <c r="G1825" s="7">
        <v>46820</v>
      </c>
      <c r="H1825" s="1" t="s">
        <v>30</v>
      </c>
      <c r="I1825" s="1" t="str">
        <f>IF(G1825&lt;=$K$1,"Pagado","Pendiente")</f>
        <v>Pendiente</v>
      </c>
    </row>
    <row r="1826" spans="1:10" hidden="1">
      <c r="A1826" s="2">
        <v>292466</v>
      </c>
      <c r="B1826" s="2">
        <v>24</v>
      </c>
      <c r="C1826" s="8">
        <v>11512384.029999999</v>
      </c>
      <c r="D1826" s="8">
        <v>350168.35</v>
      </c>
      <c r="E1826" s="8">
        <v>42020.19</v>
      </c>
      <c r="F1826" s="8">
        <v>11904572.57</v>
      </c>
      <c r="G1826" s="7">
        <v>46851</v>
      </c>
      <c r="H1826" s="1" t="s">
        <v>30</v>
      </c>
      <c r="I1826" s="1" t="str">
        <f>IF(G1826&lt;=$K$1,"Pagado","Pendiente")</f>
        <v>Pendiente</v>
      </c>
    </row>
    <row r="1827" spans="1:10" hidden="1">
      <c r="A1827" s="2">
        <v>28308295</v>
      </c>
      <c r="B1827" s="2">
        <v>1</v>
      </c>
      <c r="C1827" s="8">
        <v>16666666.666666666</v>
      </c>
      <c r="D1827" s="8">
        <v>12333333.333333334</v>
      </c>
      <c r="E1827" s="8">
        <v>1480000</v>
      </c>
      <c r="F1827" s="8">
        <v>30480000</v>
      </c>
      <c r="G1827" s="7">
        <v>46137</v>
      </c>
      <c r="H1827" s="1" t="s">
        <v>134</v>
      </c>
      <c r="I1827" s="1" t="str">
        <f>IF(G1827&lt;=$K$1,"Pagado","Pendiente")</f>
        <v>Pagado</v>
      </c>
    </row>
    <row r="1828" spans="1:10">
      <c r="A1828" s="2">
        <v>927328</v>
      </c>
      <c r="B1828" s="2">
        <v>19</v>
      </c>
      <c r="C1828" s="8">
        <v>4996488.1338395365</v>
      </c>
      <c r="D1828" s="8">
        <v>9050531.5096263848</v>
      </c>
      <c r="E1828" s="8">
        <v>1086063.7811551662</v>
      </c>
      <c r="F1828" s="8">
        <v>15133083.424621087</v>
      </c>
      <c r="G1828" s="7">
        <v>46159</v>
      </c>
      <c r="H1828" s="1" t="s">
        <v>32</v>
      </c>
      <c r="I1828" s="1" t="str">
        <f>IF(G1828&lt;=$K$1,"Pagado","Pendiente")</f>
        <v>Pendiente</v>
      </c>
      <c r="J1828" s="10"/>
    </row>
    <row r="1829" spans="1:10" hidden="1">
      <c r="A1829" s="2">
        <v>28308295</v>
      </c>
      <c r="B1829" s="2">
        <v>3</v>
      </c>
      <c r="C1829" s="8">
        <v>16666666.666666666</v>
      </c>
      <c r="D1829" s="8">
        <v>11305555.555555554</v>
      </c>
      <c r="E1829" s="8">
        <v>1356666.6666666665</v>
      </c>
      <c r="F1829" s="8">
        <v>29328888.888888888</v>
      </c>
      <c r="G1829" s="7">
        <v>46198</v>
      </c>
      <c r="H1829" s="1" t="s">
        <v>134</v>
      </c>
      <c r="I1829" s="1" t="str">
        <f>IF(G1829&lt;=$K$1,"Pagado","Pendiente")</f>
        <v>Pendiente</v>
      </c>
    </row>
    <row r="1830" spans="1:10" hidden="1">
      <c r="A1830" s="2">
        <v>28308295</v>
      </c>
      <c r="B1830" s="2">
        <v>4</v>
      </c>
      <c r="C1830" s="8">
        <v>16666666.666666666</v>
      </c>
      <c r="D1830" s="8">
        <v>10791666.666666664</v>
      </c>
      <c r="E1830" s="8">
        <v>1294999.9999999998</v>
      </c>
      <c r="F1830" s="8">
        <v>28753333.333333328</v>
      </c>
      <c r="G1830" s="7">
        <v>46228</v>
      </c>
      <c r="H1830" s="1" t="s">
        <v>134</v>
      </c>
      <c r="I1830" s="1" t="str">
        <f>IF(G1830&lt;=$K$1,"Pagado","Pendiente")</f>
        <v>Pendiente</v>
      </c>
    </row>
    <row r="1831" spans="1:10" hidden="1">
      <c r="A1831" s="2">
        <v>28308295</v>
      </c>
      <c r="B1831" s="2">
        <v>5</v>
      </c>
      <c r="C1831" s="8">
        <v>16666666.666666666</v>
      </c>
      <c r="D1831" s="8">
        <v>10277777.777777776</v>
      </c>
      <c r="E1831" s="8">
        <v>1233333.333333333</v>
      </c>
      <c r="F1831" s="8">
        <v>28177777.777777776</v>
      </c>
      <c r="G1831" s="7">
        <v>46259</v>
      </c>
      <c r="H1831" s="1" t="s">
        <v>134</v>
      </c>
      <c r="I1831" s="1" t="str">
        <f>IF(G1831&lt;=$K$1,"Pagado","Pendiente")</f>
        <v>Pendiente</v>
      </c>
    </row>
    <row r="1832" spans="1:10" hidden="1">
      <c r="A1832" s="2">
        <v>28308295</v>
      </c>
      <c r="B1832" s="2">
        <v>6</v>
      </c>
      <c r="C1832" s="8">
        <v>16666666.666666666</v>
      </c>
      <c r="D1832" s="8">
        <v>9763888.8888888862</v>
      </c>
      <c r="E1832" s="8">
        <v>1171666.6666666663</v>
      </c>
      <c r="F1832" s="8">
        <v>27602222.22222222</v>
      </c>
      <c r="G1832" s="7">
        <v>46290</v>
      </c>
      <c r="H1832" s="1" t="s">
        <v>134</v>
      </c>
      <c r="I1832" s="1" t="str">
        <f>IF(G1832&lt;=$K$1,"Pagado","Pendiente")</f>
        <v>Pendiente</v>
      </c>
    </row>
    <row r="1833" spans="1:10" hidden="1">
      <c r="A1833" s="2">
        <v>28308295</v>
      </c>
      <c r="B1833" s="2">
        <v>7</v>
      </c>
      <c r="C1833" s="8">
        <v>16666666.666666666</v>
      </c>
      <c r="D1833" s="8">
        <v>9249999.9999999963</v>
      </c>
      <c r="E1833" s="8">
        <v>1109999.9999999995</v>
      </c>
      <c r="F1833" s="8">
        <v>27026666.66666666</v>
      </c>
      <c r="G1833" s="7">
        <v>46320</v>
      </c>
      <c r="H1833" s="1" t="s">
        <v>134</v>
      </c>
      <c r="I1833" s="1" t="str">
        <f>IF(G1833&lt;=$K$1,"Pagado","Pendiente")</f>
        <v>Pendiente</v>
      </c>
    </row>
    <row r="1834" spans="1:10" hidden="1">
      <c r="A1834" s="2">
        <v>28308295</v>
      </c>
      <c r="B1834" s="2">
        <v>8</v>
      </c>
      <c r="C1834" s="8">
        <v>16666666.666666666</v>
      </c>
      <c r="D1834" s="8">
        <v>8736111.1111111064</v>
      </c>
      <c r="E1834" s="8">
        <v>1048333.3333333328</v>
      </c>
      <c r="F1834" s="8">
        <v>26451111.111111104</v>
      </c>
      <c r="G1834" s="7">
        <v>46351</v>
      </c>
      <c r="H1834" s="1" t="s">
        <v>134</v>
      </c>
      <c r="I1834" s="1" t="str">
        <f>IF(G1834&lt;=$K$1,"Pagado","Pendiente")</f>
        <v>Pendiente</v>
      </c>
    </row>
    <row r="1835" spans="1:10" hidden="1">
      <c r="A1835" s="2">
        <v>28308295</v>
      </c>
      <c r="B1835" s="2">
        <v>9</v>
      </c>
      <c r="C1835" s="8">
        <v>16666666.666666666</v>
      </c>
      <c r="D1835" s="8">
        <v>8222222.2222222183</v>
      </c>
      <c r="E1835" s="8">
        <v>986666.66666666616</v>
      </c>
      <c r="F1835" s="8">
        <v>25875555.555555552</v>
      </c>
      <c r="G1835" s="7">
        <v>46381</v>
      </c>
      <c r="H1835" s="1" t="s">
        <v>134</v>
      </c>
      <c r="I1835" s="1" t="str">
        <f>IF(G1835&lt;=$K$1,"Pagado","Pendiente")</f>
        <v>Pendiente</v>
      </c>
    </row>
    <row r="1836" spans="1:10" hidden="1">
      <c r="A1836" s="2">
        <v>28308295</v>
      </c>
      <c r="B1836" s="2">
        <v>10</v>
      </c>
      <c r="C1836" s="8">
        <v>16666666.666666666</v>
      </c>
      <c r="D1836" s="8">
        <v>7708333.3333333293</v>
      </c>
      <c r="E1836" s="8">
        <v>924999.99999999953</v>
      </c>
      <c r="F1836" s="8">
        <v>25299999.999999996</v>
      </c>
      <c r="G1836" s="7">
        <v>46412</v>
      </c>
      <c r="H1836" s="1" t="s">
        <v>134</v>
      </c>
      <c r="I1836" s="1" t="str">
        <f>IF(G1836&lt;=$K$1,"Pagado","Pendiente")</f>
        <v>Pendiente</v>
      </c>
    </row>
    <row r="1837" spans="1:10" hidden="1">
      <c r="A1837" s="2">
        <v>28308295</v>
      </c>
      <c r="B1837" s="2">
        <v>11</v>
      </c>
      <c r="C1837" s="8">
        <v>16666666.666666666</v>
      </c>
      <c r="D1837" s="8">
        <v>7194444.4444444412</v>
      </c>
      <c r="E1837" s="8">
        <v>863333.33333333291</v>
      </c>
      <c r="F1837" s="8">
        <v>24724444.44444444</v>
      </c>
      <c r="G1837" s="7">
        <v>46443</v>
      </c>
      <c r="H1837" s="1" t="s">
        <v>134</v>
      </c>
      <c r="I1837" s="1" t="str">
        <f>IF(G1837&lt;=$K$1,"Pagado","Pendiente")</f>
        <v>Pendiente</v>
      </c>
    </row>
    <row r="1838" spans="1:10" hidden="1">
      <c r="A1838" s="2">
        <v>28308295</v>
      </c>
      <c r="B1838" s="2">
        <v>12</v>
      </c>
      <c r="C1838" s="8">
        <v>16666666.666666666</v>
      </c>
      <c r="D1838" s="8">
        <v>6680555.5555555522</v>
      </c>
      <c r="E1838" s="8">
        <v>801666.66666666628</v>
      </c>
      <c r="F1838" s="8">
        <v>24148888.888888884</v>
      </c>
      <c r="G1838" s="7">
        <v>46471</v>
      </c>
      <c r="H1838" s="1" t="s">
        <v>134</v>
      </c>
      <c r="I1838" s="1" t="str">
        <f>IF(G1838&lt;=$K$1,"Pagado","Pendiente")</f>
        <v>Pendiente</v>
      </c>
    </row>
    <row r="1839" spans="1:10" hidden="1">
      <c r="A1839" s="2">
        <v>28308295</v>
      </c>
      <c r="B1839" s="2">
        <v>13</v>
      </c>
      <c r="C1839" s="8">
        <v>16666666.666666666</v>
      </c>
      <c r="D1839" s="8">
        <v>6166666.6666666642</v>
      </c>
      <c r="E1839" s="8">
        <v>739999.99999999965</v>
      </c>
      <c r="F1839" s="8">
        <v>23573333.333333328</v>
      </c>
      <c r="G1839" s="7">
        <v>46502</v>
      </c>
      <c r="H1839" s="1" t="s">
        <v>134</v>
      </c>
      <c r="I1839" s="1" t="str">
        <f>IF(G1839&lt;=$K$1,"Pagado","Pendiente")</f>
        <v>Pendiente</v>
      </c>
    </row>
    <row r="1840" spans="1:10" hidden="1">
      <c r="A1840" s="2">
        <v>28308295</v>
      </c>
      <c r="B1840" s="2">
        <v>14</v>
      </c>
      <c r="C1840" s="8">
        <v>16666666.666666666</v>
      </c>
      <c r="D1840" s="8">
        <v>5652777.7777777752</v>
      </c>
      <c r="E1840" s="8">
        <v>678333.33333333302</v>
      </c>
      <c r="F1840" s="8">
        <v>22997777.777777776</v>
      </c>
      <c r="G1840" s="7">
        <v>46532</v>
      </c>
      <c r="H1840" s="1" t="s">
        <v>134</v>
      </c>
      <c r="I1840" s="1" t="str">
        <f>IF(G1840&lt;=$K$1,"Pagado","Pendiente")</f>
        <v>Pendiente</v>
      </c>
    </row>
    <row r="1841" spans="1:9" hidden="1">
      <c r="A1841" s="2">
        <v>28308295</v>
      </c>
      <c r="B1841" s="2">
        <v>15</v>
      </c>
      <c r="C1841" s="8">
        <v>16666666.666666666</v>
      </c>
      <c r="D1841" s="8">
        <v>5138888.8888888871</v>
      </c>
      <c r="E1841" s="8">
        <v>616666.66666666651</v>
      </c>
      <c r="F1841" s="8">
        <v>22422222.22222222</v>
      </c>
      <c r="G1841" s="7">
        <v>46563</v>
      </c>
      <c r="H1841" s="1" t="s">
        <v>134</v>
      </c>
      <c r="I1841" s="1" t="str">
        <f>IF(G1841&lt;=$K$1,"Pagado","Pendiente")</f>
        <v>Pendiente</v>
      </c>
    </row>
    <row r="1842" spans="1:9" hidden="1">
      <c r="A1842" s="2">
        <v>28308295</v>
      </c>
      <c r="B1842" s="2">
        <v>16</v>
      </c>
      <c r="C1842" s="8">
        <v>16666666.666666666</v>
      </c>
      <c r="D1842" s="8">
        <v>4624999.9999999981</v>
      </c>
      <c r="E1842" s="8">
        <v>554999.99999999977</v>
      </c>
      <c r="F1842" s="8">
        <v>21846666.666666664</v>
      </c>
      <c r="G1842" s="7">
        <v>46593</v>
      </c>
      <c r="H1842" s="1" t="s">
        <v>134</v>
      </c>
      <c r="I1842" s="1" t="str">
        <f>IF(G1842&lt;=$K$1,"Pagado","Pendiente")</f>
        <v>Pendiente</v>
      </c>
    </row>
    <row r="1843" spans="1:9" hidden="1">
      <c r="A1843" s="2">
        <v>28308295</v>
      </c>
      <c r="B1843" s="2">
        <v>17</v>
      </c>
      <c r="C1843" s="8">
        <v>16666666.666666666</v>
      </c>
      <c r="D1843" s="8">
        <v>4111111.1111111091</v>
      </c>
      <c r="E1843" s="8">
        <v>493333.33333333308</v>
      </c>
      <c r="F1843" s="8">
        <v>21271111.111111108</v>
      </c>
      <c r="G1843" s="7">
        <v>46624</v>
      </c>
      <c r="H1843" s="1" t="s">
        <v>134</v>
      </c>
      <c r="I1843" s="1" t="str">
        <f>IF(G1843&lt;=$K$1,"Pagado","Pendiente")</f>
        <v>Pendiente</v>
      </c>
    </row>
    <row r="1844" spans="1:9" hidden="1">
      <c r="A1844" s="2">
        <v>28308295</v>
      </c>
      <c r="B1844" s="2">
        <v>18</v>
      </c>
      <c r="C1844" s="8">
        <v>16666666.666666666</v>
      </c>
      <c r="D1844" s="8">
        <v>3597222.2222222202</v>
      </c>
      <c r="E1844" s="8">
        <v>431666.6666666664</v>
      </c>
      <c r="F1844" s="8">
        <v>20695555.555555552</v>
      </c>
      <c r="G1844" s="7">
        <v>46655</v>
      </c>
      <c r="H1844" s="1" t="s">
        <v>134</v>
      </c>
      <c r="I1844" s="1" t="str">
        <f>IF(G1844&lt;=$K$1,"Pagado","Pendiente")</f>
        <v>Pendiente</v>
      </c>
    </row>
    <row r="1845" spans="1:9" hidden="1">
      <c r="A1845" s="2">
        <v>28308295</v>
      </c>
      <c r="B1845" s="2">
        <v>19</v>
      </c>
      <c r="C1845" s="8">
        <v>16666666.666666666</v>
      </c>
      <c r="D1845" s="8">
        <v>3083333.3333333312</v>
      </c>
      <c r="E1845" s="8">
        <v>369999.99999999977</v>
      </c>
      <c r="F1845" s="8">
        <v>20119999.999999996</v>
      </c>
      <c r="G1845" s="7">
        <v>46685</v>
      </c>
      <c r="H1845" s="1" t="s">
        <v>134</v>
      </c>
      <c r="I1845" s="1" t="str">
        <f>IF(G1845&lt;=$K$1,"Pagado","Pendiente")</f>
        <v>Pendiente</v>
      </c>
    </row>
    <row r="1846" spans="1:9" hidden="1">
      <c r="A1846" s="2">
        <v>28308295</v>
      </c>
      <c r="B1846" s="2">
        <v>20</v>
      </c>
      <c r="C1846" s="8">
        <v>16666666.666666666</v>
      </c>
      <c r="D1846" s="8">
        <v>2569444.4444444422</v>
      </c>
      <c r="E1846" s="8">
        <v>308333.33333333308</v>
      </c>
      <c r="F1846" s="8">
        <v>19544444.44444444</v>
      </c>
      <c r="G1846" s="7">
        <v>46716</v>
      </c>
      <c r="H1846" s="1" t="s">
        <v>134</v>
      </c>
      <c r="I1846" s="1" t="str">
        <f>IF(G1846&lt;=$K$1,"Pagado","Pendiente")</f>
        <v>Pendiente</v>
      </c>
    </row>
    <row r="1847" spans="1:9" hidden="1">
      <c r="A1847" s="2">
        <v>28308295</v>
      </c>
      <c r="B1847" s="2">
        <v>21</v>
      </c>
      <c r="C1847" s="8">
        <v>16666666.666666666</v>
      </c>
      <c r="D1847" s="8">
        <v>2055555.5555555532</v>
      </c>
      <c r="E1847" s="8">
        <v>246666.6666666664</v>
      </c>
      <c r="F1847" s="8">
        <v>18968888.888888884</v>
      </c>
      <c r="G1847" s="7">
        <v>46746</v>
      </c>
      <c r="H1847" s="1" t="s">
        <v>134</v>
      </c>
      <c r="I1847" s="1" t="str">
        <f>IF(G1847&lt;=$K$1,"Pagado","Pendiente")</f>
        <v>Pendiente</v>
      </c>
    </row>
    <row r="1848" spans="1:9" hidden="1">
      <c r="A1848" s="2">
        <v>28308295</v>
      </c>
      <c r="B1848" s="2">
        <v>22</v>
      </c>
      <c r="C1848" s="8">
        <v>16666666.666666666</v>
      </c>
      <c r="D1848" s="8">
        <v>1541666.6666666644</v>
      </c>
      <c r="E1848" s="8">
        <v>184999.99999999974</v>
      </c>
      <c r="F1848" s="8">
        <v>18393333.333333328</v>
      </c>
      <c r="G1848" s="7">
        <v>46777</v>
      </c>
      <c r="H1848" s="1" t="s">
        <v>134</v>
      </c>
      <c r="I1848" s="1" t="str">
        <f>IF(G1848&lt;=$K$1,"Pagado","Pendiente")</f>
        <v>Pendiente</v>
      </c>
    </row>
    <row r="1849" spans="1:9" hidden="1">
      <c r="A1849" s="2">
        <v>28308295</v>
      </c>
      <c r="B1849" s="2">
        <v>23</v>
      </c>
      <c r="C1849" s="8">
        <v>16666666.666666666</v>
      </c>
      <c r="D1849" s="8">
        <v>1027777.7777777755</v>
      </c>
      <c r="E1849" s="8">
        <v>123333.33333333307</v>
      </c>
      <c r="F1849" s="8">
        <v>17817777.777777776</v>
      </c>
      <c r="G1849" s="7">
        <v>46808</v>
      </c>
      <c r="H1849" s="1" t="s">
        <v>134</v>
      </c>
      <c r="I1849" s="1" t="str">
        <f>IF(G1849&lt;=$K$1,"Pagado","Pendiente")</f>
        <v>Pendiente</v>
      </c>
    </row>
    <row r="1850" spans="1:9" hidden="1">
      <c r="A1850" s="2">
        <v>28308295</v>
      </c>
      <c r="B1850" s="2">
        <v>24</v>
      </c>
      <c r="C1850" s="8">
        <v>16666666.666666666</v>
      </c>
      <c r="D1850" s="8">
        <v>513888.88888888666</v>
      </c>
      <c r="E1850" s="8">
        <v>61666.666666666402</v>
      </c>
      <c r="F1850" s="8">
        <v>17242222.22222222</v>
      </c>
      <c r="G1850" s="7">
        <v>46837</v>
      </c>
      <c r="H1850" s="1" t="s">
        <v>134</v>
      </c>
      <c r="I1850" s="1" t="str">
        <f>IF(G1850&lt;=$K$1,"Pagado","Pendiente")</f>
        <v>Pendiente</v>
      </c>
    </row>
    <row r="1851" spans="1:9" hidden="1">
      <c r="A1851" s="2">
        <v>957186200</v>
      </c>
      <c r="B1851" s="2">
        <v>1</v>
      </c>
      <c r="C1851" s="8">
        <v>27777777.777777776</v>
      </c>
      <c r="D1851" s="8">
        <v>16933333.333333332</v>
      </c>
      <c r="E1851" s="8">
        <v>2031999.9999999998</v>
      </c>
      <c r="F1851" s="8">
        <v>46743111.111111104</v>
      </c>
      <c r="G1851" s="7">
        <v>46106</v>
      </c>
      <c r="H1851" s="1" t="s">
        <v>24</v>
      </c>
    </row>
    <row r="1852" spans="1:9" hidden="1">
      <c r="A1852" s="2">
        <v>885417900</v>
      </c>
      <c r="B1852" s="2">
        <v>13</v>
      </c>
      <c r="C1852" s="8">
        <v>27777777.777777776</v>
      </c>
      <c r="D1852" s="8">
        <v>5094444.4444444394</v>
      </c>
      <c r="E1852" s="8">
        <v>611333.33333333267</v>
      </c>
      <c r="F1852" s="8">
        <v>33483555.555555549</v>
      </c>
      <c r="G1852" s="7">
        <v>46140</v>
      </c>
      <c r="H1852" s="1" t="s">
        <v>24</v>
      </c>
      <c r="I1852" s="1" t="str">
        <f>IF(G1852&lt;=$K$1,"Pagado","Pendiente")</f>
        <v>Pendiente</v>
      </c>
    </row>
    <row r="1853" spans="1:9">
      <c r="A1853" s="2">
        <v>28308295</v>
      </c>
      <c r="B1853" s="2">
        <v>2</v>
      </c>
      <c r="C1853" s="8">
        <v>16666666.666666666</v>
      </c>
      <c r="D1853" s="8">
        <v>11819444.444444444</v>
      </c>
      <c r="E1853" s="8">
        <v>1418333.3333333333</v>
      </c>
      <c r="F1853" s="8">
        <v>29904444.444444444</v>
      </c>
      <c r="G1853" s="7">
        <v>46167</v>
      </c>
      <c r="H1853" s="1" t="s">
        <v>134</v>
      </c>
      <c r="I1853" s="1" t="str">
        <f>IF(G1853&lt;=$K$1,"Pagado","Pendiente")</f>
        <v>Pendiente</v>
      </c>
    </row>
    <row r="1854" spans="1:9" hidden="1">
      <c r="A1854" s="2">
        <v>957186200</v>
      </c>
      <c r="B1854" s="2">
        <v>4</v>
      </c>
      <c r="C1854" s="8">
        <v>27777777.777777776</v>
      </c>
      <c r="D1854" s="8">
        <v>14111111.11111111</v>
      </c>
      <c r="E1854" s="8">
        <v>1693333.3333333333</v>
      </c>
      <c r="F1854" s="8">
        <v>43582222.222222216</v>
      </c>
      <c r="G1854" s="7">
        <v>46198</v>
      </c>
      <c r="H1854" s="1" t="s">
        <v>24</v>
      </c>
    </row>
    <row r="1855" spans="1:9" hidden="1">
      <c r="A1855" s="2">
        <v>957186200</v>
      </c>
      <c r="B1855" s="2">
        <v>5</v>
      </c>
      <c r="C1855" s="8">
        <v>27777777.777777776</v>
      </c>
      <c r="D1855" s="8">
        <v>13170370.370370369</v>
      </c>
      <c r="E1855" s="8">
        <v>1580444.4444444443</v>
      </c>
      <c r="F1855" s="8">
        <v>42528592.59259259</v>
      </c>
      <c r="G1855" s="7">
        <v>46228</v>
      </c>
      <c r="H1855" s="1" t="s">
        <v>24</v>
      </c>
    </row>
    <row r="1856" spans="1:9" hidden="1">
      <c r="A1856" s="2">
        <v>957186200</v>
      </c>
      <c r="B1856" s="2">
        <v>6</v>
      </c>
      <c r="C1856" s="8">
        <v>27777777.777777776</v>
      </c>
      <c r="D1856" s="8">
        <v>12229629.629629627</v>
      </c>
      <c r="E1856" s="8">
        <v>1467555.5555555553</v>
      </c>
      <c r="F1856" s="8">
        <v>41474962.962962955</v>
      </c>
      <c r="G1856" s="7">
        <v>46259</v>
      </c>
      <c r="H1856" s="1" t="s">
        <v>24</v>
      </c>
    </row>
    <row r="1857" spans="1:8" hidden="1">
      <c r="A1857" s="2">
        <v>957186200</v>
      </c>
      <c r="B1857" s="2">
        <v>7</v>
      </c>
      <c r="C1857" s="8">
        <v>27777777.777777776</v>
      </c>
      <c r="D1857" s="8">
        <v>11288888.888888886</v>
      </c>
      <c r="E1857" s="8">
        <v>1354666.6666666663</v>
      </c>
      <c r="F1857" s="8">
        <v>40421333.333333328</v>
      </c>
      <c r="G1857" s="7">
        <v>46290</v>
      </c>
      <c r="H1857" s="1" t="s">
        <v>24</v>
      </c>
    </row>
    <row r="1858" spans="1:8" hidden="1">
      <c r="A1858" s="2">
        <v>957186200</v>
      </c>
      <c r="B1858" s="2">
        <v>8</v>
      </c>
      <c r="C1858" s="8">
        <v>27777777.777777776</v>
      </c>
      <c r="D1858" s="8">
        <v>10348148.148148146</v>
      </c>
      <c r="E1858" s="8">
        <v>1241777.7777777775</v>
      </c>
      <c r="F1858" s="8">
        <v>39367703.703703701</v>
      </c>
      <c r="G1858" s="7">
        <v>46320</v>
      </c>
      <c r="H1858" s="1" t="s">
        <v>24</v>
      </c>
    </row>
    <row r="1859" spans="1:8" hidden="1">
      <c r="A1859" s="2">
        <v>957186200</v>
      </c>
      <c r="B1859" s="2">
        <v>9</v>
      </c>
      <c r="C1859" s="8">
        <v>27777777.777777776</v>
      </c>
      <c r="D1859" s="8">
        <v>9407407.4074074049</v>
      </c>
      <c r="E1859" s="8">
        <v>1128888.8888888885</v>
      </c>
      <c r="F1859" s="8">
        <v>38314074.074074067</v>
      </c>
      <c r="G1859" s="7">
        <v>46351</v>
      </c>
      <c r="H1859" s="1" t="s">
        <v>24</v>
      </c>
    </row>
    <row r="1860" spans="1:8" hidden="1">
      <c r="A1860" s="2">
        <v>957186200</v>
      </c>
      <c r="B1860" s="2">
        <v>10</v>
      </c>
      <c r="C1860" s="8">
        <v>27777777.777777776</v>
      </c>
      <c r="D1860" s="8">
        <v>8466666.6666666623</v>
      </c>
      <c r="E1860" s="8">
        <v>1015999.9999999995</v>
      </c>
      <c r="F1860" s="8">
        <v>37260444.44444444</v>
      </c>
      <c r="G1860" s="7">
        <v>46381</v>
      </c>
      <c r="H1860" s="1" t="s">
        <v>24</v>
      </c>
    </row>
    <row r="1861" spans="1:8" hidden="1">
      <c r="A1861" s="2">
        <v>957186200</v>
      </c>
      <c r="B1861" s="2">
        <v>11</v>
      </c>
      <c r="C1861" s="8">
        <v>27777777.777777776</v>
      </c>
      <c r="D1861" s="8">
        <v>7525925.9259259216</v>
      </c>
      <c r="E1861" s="8">
        <v>903111.11111111054</v>
      </c>
      <c r="F1861" s="8">
        <v>36206814.814814806</v>
      </c>
      <c r="G1861" s="7">
        <v>46412</v>
      </c>
      <c r="H1861" s="1" t="s">
        <v>24</v>
      </c>
    </row>
    <row r="1862" spans="1:8" hidden="1">
      <c r="A1862" s="2">
        <v>957186200</v>
      </c>
      <c r="B1862" s="2">
        <v>12</v>
      </c>
      <c r="C1862" s="8">
        <v>27777777.777777776</v>
      </c>
      <c r="D1862" s="8">
        <v>6585185.18518518</v>
      </c>
      <c r="E1862" s="8">
        <v>790222.22222222155</v>
      </c>
      <c r="F1862" s="8">
        <v>35153185.185185179</v>
      </c>
      <c r="G1862" s="7">
        <v>46443</v>
      </c>
      <c r="H1862" s="1" t="s">
        <v>24</v>
      </c>
    </row>
    <row r="1863" spans="1:8" hidden="1">
      <c r="A1863" s="2">
        <v>957186200</v>
      </c>
      <c r="B1863" s="2">
        <v>13</v>
      </c>
      <c r="C1863" s="8">
        <v>27777777.777777776</v>
      </c>
      <c r="D1863" s="8">
        <v>5644444.4444444394</v>
      </c>
      <c r="E1863" s="8">
        <v>677333.33333333267</v>
      </c>
      <c r="F1863" s="8">
        <v>34099555.555555545</v>
      </c>
      <c r="G1863" s="7">
        <v>46471</v>
      </c>
      <c r="H1863" s="1" t="s">
        <v>24</v>
      </c>
    </row>
    <row r="1864" spans="1:8" hidden="1">
      <c r="A1864" s="2">
        <v>957186200</v>
      </c>
      <c r="B1864" s="2">
        <v>14</v>
      </c>
      <c r="C1864" s="8">
        <v>27777777.777777776</v>
      </c>
      <c r="D1864" s="8">
        <v>4703703.7037036978</v>
      </c>
      <c r="E1864" s="8">
        <v>564444.44444444368</v>
      </c>
      <c r="F1864" s="8">
        <v>33045925.925925918</v>
      </c>
      <c r="G1864" s="7">
        <v>46502</v>
      </c>
      <c r="H1864" s="1" t="s">
        <v>24</v>
      </c>
    </row>
    <row r="1865" spans="1:8" hidden="1">
      <c r="A1865" s="2">
        <v>957186200</v>
      </c>
      <c r="B1865" s="2">
        <v>15</v>
      </c>
      <c r="C1865" s="8">
        <v>27777777.777777776</v>
      </c>
      <c r="D1865" s="8">
        <v>3762962.9629629571</v>
      </c>
      <c r="E1865" s="8">
        <v>451555.55555555486</v>
      </c>
      <c r="F1865" s="8">
        <v>31992296.296296287</v>
      </c>
      <c r="G1865" s="7">
        <v>46532</v>
      </c>
      <c r="H1865" s="1" t="s">
        <v>24</v>
      </c>
    </row>
    <row r="1866" spans="1:8" hidden="1">
      <c r="A1866" s="2">
        <v>957186200</v>
      </c>
      <c r="B1866" s="2">
        <v>16</v>
      </c>
      <c r="C1866" s="8">
        <v>27777777.777777776</v>
      </c>
      <c r="D1866" s="8">
        <v>2822222.2222222164</v>
      </c>
      <c r="E1866" s="8">
        <v>338666.66666666599</v>
      </c>
      <c r="F1866" s="8">
        <v>30938666.666666657</v>
      </c>
      <c r="G1866" s="7">
        <v>46563</v>
      </c>
      <c r="H1866" s="1" t="s">
        <v>24</v>
      </c>
    </row>
    <row r="1867" spans="1:8" hidden="1">
      <c r="A1867" s="2">
        <v>957186200</v>
      </c>
      <c r="B1867" s="2">
        <v>17</v>
      </c>
      <c r="C1867" s="8">
        <v>27777777.777777776</v>
      </c>
      <c r="D1867" s="8">
        <v>1881481.4814814758</v>
      </c>
      <c r="E1867" s="8">
        <v>225777.77777777708</v>
      </c>
      <c r="F1867" s="8">
        <v>29885037.03703703</v>
      </c>
      <c r="G1867" s="7">
        <v>46593</v>
      </c>
      <c r="H1867" s="1" t="s">
        <v>24</v>
      </c>
    </row>
    <row r="1868" spans="1:8" hidden="1">
      <c r="A1868" s="2">
        <v>957186200</v>
      </c>
      <c r="B1868" s="2">
        <v>18</v>
      </c>
      <c r="C1868" s="8">
        <v>27777777.777777776</v>
      </c>
      <c r="D1868" s="8">
        <v>940740.7407407352</v>
      </c>
      <c r="E1868" s="8">
        <v>112888.88888888822</v>
      </c>
      <c r="F1868" s="8">
        <v>28831407.407407399</v>
      </c>
      <c r="G1868" s="7">
        <v>46624</v>
      </c>
      <c r="H1868" s="1" t="s">
        <v>24</v>
      </c>
    </row>
  </sheetData>
  <autoFilter ref="A1:J1868" xr:uid="{00000000-0001-0000-0200-000000000000}">
    <filterColumn colId="6">
      <filters>
        <dateGroupItem year="2026" month="5" dateTimeGrouping="month"/>
      </filters>
    </filterColumn>
    <filterColumn colId="9">
      <filters blank="1"/>
    </filterColumn>
    <sortState xmlns:xlrd2="http://schemas.microsoft.com/office/spreadsheetml/2017/richdata2" ref="A244:J1853">
      <sortCondition ref="H1:H1868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ACF6B-228B-41C5-AA9C-E944CB3D9950}">
  <dimension ref="A1:D646"/>
  <sheetViews>
    <sheetView topLeftCell="A25" workbookViewId="0">
      <selection activeCell="G30" sqref="G30"/>
    </sheetView>
  </sheetViews>
  <sheetFormatPr baseColWidth="10" defaultRowHeight="15"/>
  <cols>
    <col min="1" max="1" width="26.28515625" bestFit="1" customWidth="1"/>
    <col min="2" max="2" width="22.5703125" style="1" bestFit="1" customWidth="1"/>
    <col min="3" max="3" width="28.5703125" style="1" bestFit="1" customWidth="1"/>
    <col min="4" max="4" width="17.42578125" style="1" bestFit="1" customWidth="1"/>
  </cols>
  <sheetData>
    <row r="1" spans="1:4">
      <c r="A1" s="12" t="s">
        <v>131</v>
      </c>
      <c r="B1" t="s">
        <v>133</v>
      </c>
    </row>
    <row r="2" spans="1:4">
      <c r="A2" s="12" t="s">
        <v>130</v>
      </c>
      <c r="B2" t="s">
        <v>132</v>
      </c>
    </row>
    <row r="4" spans="1:4">
      <c r="A4" s="12" t="s">
        <v>0</v>
      </c>
      <c r="B4" s="12" t="s">
        <v>16</v>
      </c>
      <c r="C4" t="s">
        <v>38</v>
      </c>
      <c r="D4" s="1" t="s">
        <v>37</v>
      </c>
    </row>
    <row r="5" spans="1:4">
      <c r="A5">
        <v>20466</v>
      </c>
      <c r="B5" t="s">
        <v>31</v>
      </c>
      <c r="C5">
        <v>29</v>
      </c>
      <c r="D5" s="1">
        <v>26137779.532363255</v>
      </c>
    </row>
    <row r="6" spans="1:4">
      <c r="A6">
        <v>20828</v>
      </c>
      <c r="B6" t="s">
        <v>31</v>
      </c>
      <c r="C6">
        <v>32</v>
      </c>
      <c r="D6" s="1">
        <v>36368063.453049131</v>
      </c>
    </row>
    <row r="7" spans="1:4">
      <c r="A7">
        <v>22044</v>
      </c>
      <c r="B7" t="s">
        <v>31</v>
      </c>
      <c r="C7">
        <v>40</v>
      </c>
      <c r="D7" s="1">
        <v>63149507.356356196</v>
      </c>
    </row>
    <row r="8" spans="1:4">
      <c r="A8">
        <v>23430</v>
      </c>
      <c r="B8" t="s">
        <v>31</v>
      </c>
      <c r="C8">
        <v>63</v>
      </c>
      <c r="D8" s="1">
        <v>121405720.59999999</v>
      </c>
    </row>
    <row r="9" spans="1:4">
      <c r="A9">
        <v>23467</v>
      </c>
      <c r="B9" t="s">
        <v>31</v>
      </c>
      <c r="C9">
        <v>63</v>
      </c>
      <c r="D9" s="1">
        <v>455271452.06999993</v>
      </c>
    </row>
    <row r="10" spans="1:4">
      <c r="A10">
        <v>23700</v>
      </c>
      <c r="B10" t="s">
        <v>31</v>
      </c>
      <c r="C10">
        <v>22</v>
      </c>
      <c r="D10" s="1">
        <v>363509857.19999993</v>
      </c>
    </row>
    <row r="11" spans="1:4">
      <c r="A11">
        <v>23790</v>
      </c>
      <c r="B11" t="s">
        <v>31</v>
      </c>
      <c r="C11">
        <v>23</v>
      </c>
      <c r="D11" s="1">
        <v>376056727.57621115</v>
      </c>
    </row>
    <row r="12" spans="1:4">
      <c r="A12">
        <v>23996</v>
      </c>
      <c r="B12" t="s">
        <v>31</v>
      </c>
      <c r="C12">
        <v>75</v>
      </c>
      <c r="D12" s="1">
        <v>299999999.99999994</v>
      </c>
    </row>
    <row r="13" spans="1:4">
      <c r="A13">
        <v>24004</v>
      </c>
      <c r="B13" t="s">
        <v>31</v>
      </c>
      <c r="C13">
        <v>51</v>
      </c>
      <c r="D13" s="1">
        <v>140014552.49000001</v>
      </c>
    </row>
    <row r="14" spans="1:4">
      <c r="A14">
        <v>24132</v>
      </c>
      <c r="B14" t="s">
        <v>31</v>
      </c>
      <c r="C14">
        <v>77</v>
      </c>
      <c r="D14" s="1">
        <v>180000000.00000012</v>
      </c>
    </row>
    <row r="15" spans="1:4">
      <c r="A15">
        <v>24214</v>
      </c>
      <c r="B15" t="s">
        <v>31</v>
      </c>
      <c r="C15">
        <v>42</v>
      </c>
      <c r="D15" s="1">
        <v>180000000.00000003</v>
      </c>
    </row>
    <row r="16" spans="1:4">
      <c r="A16">
        <v>31295</v>
      </c>
      <c r="B16" t="s">
        <v>35</v>
      </c>
      <c r="C16">
        <v>45</v>
      </c>
      <c r="D16" s="1">
        <v>186121305.79000005</v>
      </c>
    </row>
    <row r="17" spans="1:4">
      <c r="A17">
        <v>119980</v>
      </c>
      <c r="B17" t="s">
        <v>26</v>
      </c>
      <c r="C17">
        <v>43</v>
      </c>
      <c r="D17" s="1">
        <v>609166666.64999998</v>
      </c>
    </row>
    <row r="18" spans="1:4">
      <c r="A18">
        <v>272635</v>
      </c>
      <c r="B18" t="s">
        <v>30</v>
      </c>
      <c r="C18">
        <v>42</v>
      </c>
      <c r="D18" s="1">
        <v>287812726.68573666</v>
      </c>
    </row>
    <row r="19" spans="1:4">
      <c r="A19">
        <v>281431</v>
      </c>
      <c r="B19" t="s">
        <v>30</v>
      </c>
      <c r="C19">
        <v>56</v>
      </c>
      <c r="D19" s="1">
        <v>195918904.18917084</v>
      </c>
    </row>
    <row r="20" spans="1:4">
      <c r="A20">
        <v>347916</v>
      </c>
      <c r="B20" t="s">
        <v>30</v>
      </c>
      <c r="C20">
        <v>50</v>
      </c>
      <c r="D20" s="1">
        <v>248722653.34259531</v>
      </c>
    </row>
    <row r="21" spans="1:4">
      <c r="A21">
        <v>394949</v>
      </c>
      <c r="B21" t="s">
        <v>30</v>
      </c>
      <c r="C21">
        <v>57</v>
      </c>
      <c r="D21" s="1">
        <v>137941258.35000002</v>
      </c>
    </row>
    <row r="22" spans="1:4">
      <c r="A22">
        <v>927328</v>
      </c>
      <c r="B22" t="s">
        <v>32</v>
      </c>
      <c r="C22">
        <v>42</v>
      </c>
      <c r="D22" s="1">
        <v>363232033.83115816</v>
      </c>
    </row>
    <row r="23" spans="1:4">
      <c r="A23">
        <v>2537844</v>
      </c>
      <c r="B23" t="s">
        <v>29</v>
      </c>
      <c r="C23">
        <v>24</v>
      </c>
      <c r="D23" s="1">
        <v>60000000</v>
      </c>
    </row>
    <row r="24" spans="1:4">
      <c r="A24">
        <v>36663680</v>
      </c>
      <c r="B24" t="s">
        <v>27</v>
      </c>
      <c r="C24">
        <v>8</v>
      </c>
      <c r="D24" s="1">
        <v>333333333.33333331</v>
      </c>
    </row>
    <row r="25" spans="1:4">
      <c r="A25">
        <v>65210751</v>
      </c>
      <c r="B25" t="s">
        <v>26</v>
      </c>
      <c r="C25">
        <v>38</v>
      </c>
      <c r="D25" s="1">
        <v>340416666.54000002</v>
      </c>
    </row>
    <row r="26" spans="1:4">
      <c r="A26">
        <v>66235635</v>
      </c>
      <c r="B26" t="s">
        <v>26</v>
      </c>
      <c r="C26">
        <v>39</v>
      </c>
      <c r="D26" s="1">
        <v>308749999.96999991</v>
      </c>
    </row>
    <row r="27" spans="1:4">
      <c r="A27">
        <v>75472831</v>
      </c>
      <c r="B27" t="s">
        <v>26</v>
      </c>
      <c r="C27">
        <v>42</v>
      </c>
      <c r="D27" s="1">
        <v>87499999.85999994</v>
      </c>
    </row>
    <row r="28" spans="1:4">
      <c r="A28">
        <v>843950300</v>
      </c>
      <c r="B28" t="s">
        <v>24</v>
      </c>
      <c r="C28">
        <v>42</v>
      </c>
      <c r="D28" s="1">
        <v>190803966.61000001</v>
      </c>
    </row>
    <row r="29" spans="1:4">
      <c r="A29">
        <v>863502400</v>
      </c>
      <c r="B29" t="s">
        <v>24</v>
      </c>
      <c r="C29">
        <v>44</v>
      </c>
      <c r="D29" s="1">
        <v>252377463.75000003</v>
      </c>
    </row>
    <row r="30" spans="1:4">
      <c r="A30">
        <v>863502600</v>
      </c>
      <c r="B30" t="s">
        <v>24</v>
      </c>
      <c r="C30">
        <v>44</v>
      </c>
      <c r="D30" s="1">
        <v>130540067.50999999</v>
      </c>
    </row>
    <row r="31" spans="1:4">
      <c r="A31">
        <v>885417400</v>
      </c>
      <c r="B31" t="s">
        <v>24</v>
      </c>
      <c r="C31">
        <v>6</v>
      </c>
      <c r="D31" s="1">
        <v>166666666.66666669</v>
      </c>
    </row>
    <row r="32" spans="1:4">
      <c r="A32">
        <v>885417900</v>
      </c>
      <c r="B32" t="s">
        <v>24</v>
      </c>
      <c r="C32">
        <v>6</v>
      </c>
      <c r="D32" s="1">
        <v>166666666.66666669</v>
      </c>
    </row>
    <row r="33" spans="1:4">
      <c r="A33">
        <v>945870600</v>
      </c>
      <c r="B33" t="s">
        <v>24</v>
      </c>
      <c r="C33">
        <v>14</v>
      </c>
      <c r="D33" s="1">
        <v>388888888.87999988</v>
      </c>
    </row>
    <row r="34" spans="1:4">
      <c r="A34">
        <v>946100200</v>
      </c>
      <c r="B34" t="s">
        <v>24</v>
      </c>
      <c r="C34">
        <v>14</v>
      </c>
      <c r="D34" s="1">
        <v>311111111.12</v>
      </c>
    </row>
    <row r="35" spans="1:4">
      <c r="A35">
        <v>963148500</v>
      </c>
      <c r="B35" t="s">
        <v>24</v>
      </c>
      <c r="C35">
        <v>16</v>
      </c>
      <c r="D35" s="1">
        <v>350000000</v>
      </c>
    </row>
    <row r="36" spans="1:4">
      <c r="A36">
        <v>292466</v>
      </c>
      <c r="B36" t="s">
        <v>30</v>
      </c>
      <c r="C36">
        <v>24</v>
      </c>
      <c r="D36" s="1">
        <v>199999999.99999997</v>
      </c>
    </row>
    <row r="37" spans="1:4">
      <c r="A37">
        <v>28308295</v>
      </c>
      <c r="B37" t="s">
        <v>134</v>
      </c>
      <c r="C37">
        <v>24</v>
      </c>
      <c r="D37" s="1">
        <v>400000000.00000006</v>
      </c>
    </row>
    <row r="38" spans="1:4">
      <c r="B38"/>
      <c r="C38"/>
    </row>
    <row r="39" spans="1:4">
      <c r="B39"/>
      <c r="C39"/>
    </row>
    <row r="40" spans="1:4">
      <c r="B40"/>
      <c r="C40"/>
    </row>
    <row r="41" spans="1:4">
      <c r="B41"/>
      <c r="C41"/>
    </row>
    <row r="42" spans="1:4">
      <c r="B42"/>
      <c r="C42"/>
    </row>
    <row r="43" spans="1:4">
      <c r="B43"/>
      <c r="C43"/>
    </row>
    <row r="44" spans="1:4">
      <c r="B44"/>
      <c r="C44"/>
    </row>
    <row r="45" spans="1:4">
      <c r="B45"/>
      <c r="C45"/>
    </row>
    <row r="46" spans="1:4">
      <c r="B46"/>
      <c r="C46"/>
    </row>
    <row r="47" spans="1:4">
      <c r="B47"/>
      <c r="C47"/>
    </row>
    <row r="48" spans="1:4">
      <c r="B48"/>
      <c r="C48"/>
    </row>
    <row r="49" spans="2:3">
      <c r="B49"/>
      <c r="C49"/>
    </row>
    <row r="50" spans="2:3">
      <c r="B50"/>
      <c r="C50"/>
    </row>
    <row r="51" spans="2:3">
      <c r="B51"/>
      <c r="C51"/>
    </row>
    <row r="52" spans="2:3">
      <c r="B52"/>
      <c r="C52"/>
    </row>
    <row r="53" spans="2:3">
      <c r="B53"/>
      <c r="C53"/>
    </row>
    <row r="54" spans="2:3">
      <c r="B54"/>
      <c r="C54"/>
    </row>
    <row r="55" spans="2:3">
      <c r="B55"/>
      <c r="C55"/>
    </row>
    <row r="56" spans="2:3">
      <c r="B56"/>
      <c r="C56"/>
    </row>
    <row r="57" spans="2:3">
      <c r="B57"/>
      <c r="C57"/>
    </row>
    <row r="58" spans="2:3">
      <c r="B58"/>
      <c r="C58"/>
    </row>
    <row r="59" spans="2:3">
      <c r="B59"/>
      <c r="C59"/>
    </row>
    <row r="60" spans="2:3">
      <c r="B60"/>
      <c r="C60"/>
    </row>
    <row r="61" spans="2:3">
      <c r="B61"/>
      <c r="C61"/>
    </row>
    <row r="62" spans="2:3">
      <c r="B62"/>
      <c r="C62"/>
    </row>
    <row r="63" spans="2:3">
      <c r="B63"/>
      <c r="C63"/>
    </row>
    <row r="64" spans="2:3">
      <c r="B64"/>
      <c r="C64"/>
    </row>
    <row r="65" spans="2:3">
      <c r="B65"/>
      <c r="C65"/>
    </row>
    <row r="66" spans="2:3">
      <c r="B66"/>
      <c r="C66"/>
    </row>
    <row r="67" spans="2:3">
      <c r="B67"/>
      <c r="C67"/>
    </row>
    <row r="68" spans="2:3">
      <c r="B68"/>
      <c r="C68"/>
    </row>
    <row r="69" spans="2:3">
      <c r="B69"/>
      <c r="C69"/>
    </row>
    <row r="70" spans="2:3">
      <c r="B70"/>
      <c r="C70"/>
    </row>
    <row r="71" spans="2:3">
      <c r="B71"/>
      <c r="C71"/>
    </row>
    <row r="72" spans="2:3">
      <c r="B72"/>
      <c r="C72"/>
    </row>
    <row r="73" spans="2:3">
      <c r="B73"/>
      <c r="C73"/>
    </row>
    <row r="74" spans="2:3">
      <c r="B74"/>
      <c r="C74"/>
    </row>
    <row r="75" spans="2:3">
      <c r="B75"/>
      <c r="C75"/>
    </row>
    <row r="76" spans="2:3">
      <c r="B76"/>
      <c r="C76"/>
    </row>
    <row r="77" spans="2:3">
      <c r="B77"/>
      <c r="C77"/>
    </row>
    <row r="78" spans="2:3">
      <c r="B78"/>
      <c r="C78"/>
    </row>
    <row r="79" spans="2:3">
      <c r="B79"/>
      <c r="C79"/>
    </row>
    <row r="80" spans="2:3">
      <c r="B80"/>
      <c r="C80"/>
    </row>
    <row r="81" spans="2:3">
      <c r="B81"/>
      <c r="C81"/>
    </row>
    <row r="82" spans="2:3">
      <c r="B82"/>
      <c r="C82"/>
    </row>
    <row r="83" spans="2:3">
      <c r="B83"/>
      <c r="C83"/>
    </row>
    <row r="84" spans="2:3">
      <c r="B84"/>
      <c r="C84"/>
    </row>
    <row r="85" spans="2:3">
      <c r="B85"/>
      <c r="C85"/>
    </row>
    <row r="86" spans="2:3">
      <c r="B86"/>
      <c r="C86"/>
    </row>
    <row r="87" spans="2:3">
      <c r="B87"/>
      <c r="C87"/>
    </row>
    <row r="88" spans="2:3">
      <c r="B88"/>
      <c r="C88"/>
    </row>
    <row r="89" spans="2:3">
      <c r="B89"/>
      <c r="C89"/>
    </row>
    <row r="90" spans="2:3">
      <c r="B90"/>
      <c r="C90"/>
    </row>
    <row r="91" spans="2:3">
      <c r="B91"/>
      <c r="C91"/>
    </row>
    <row r="92" spans="2:3">
      <c r="B92"/>
      <c r="C92"/>
    </row>
    <row r="93" spans="2:3">
      <c r="B93"/>
      <c r="C93"/>
    </row>
    <row r="94" spans="2:3">
      <c r="B94"/>
      <c r="C94"/>
    </row>
    <row r="95" spans="2:3">
      <c r="B95"/>
      <c r="C95"/>
    </row>
    <row r="96" spans="2:3">
      <c r="B96"/>
      <c r="C96"/>
    </row>
    <row r="97" spans="2:3">
      <c r="B97"/>
      <c r="C97"/>
    </row>
    <row r="98" spans="2:3">
      <c r="B98"/>
      <c r="C98"/>
    </row>
    <row r="99" spans="2:3">
      <c r="B99"/>
      <c r="C99"/>
    </row>
    <row r="100" spans="2:3">
      <c r="B100"/>
      <c r="C100"/>
    </row>
    <row r="101" spans="2:3">
      <c r="B101"/>
      <c r="C101"/>
    </row>
    <row r="102" spans="2:3">
      <c r="B102"/>
      <c r="C102"/>
    </row>
    <row r="103" spans="2:3">
      <c r="B103"/>
      <c r="C103"/>
    </row>
    <row r="104" spans="2:3">
      <c r="B104"/>
      <c r="C104"/>
    </row>
    <row r="105" spans="2:3">
      <c r="B105"/>
      <c r="C105"/>
    </row>
    <row r="106" spans="2:3">
      <c r="B106"/>
      <c r="C106"/>
    </row>
    <row r="107" spans="2:3">
      <c r="B107"/>
      <c r="C107"/>
    </row>
    <row r="108" spans="2:3">
      <c r="B108"/>
      <c r="C108"/>
    </row>
    <row r="109" spans="2:3">
      <c r="B109"/>
      <c r="C109"/>
    </row>
    <row r="110" spans="2:3">
      <c r="B110"/>
      <c r="C110"/>
    </row>
    <row r="111" spans="2:3">
      <c r="B111"/>
      <c r="C111"/>
    </row>
    <row r="112" spans="2:3">
      <c r="B112"/>
      <c r="C112"/>
    </row>
    <row r="113" spans="2:3">
      <c r="B113"/>
      <c r="C113"/>
    </row>
    <row r="114" spans="2:3">
      <c r="B114"/>
      <c r="C114"/>
    </row>
    <row r="115" spans="2:3">
      <c r="B115"/>
      <c r="C115"/>
    </row>
    <row r="116" spans="2:3">
      <c r="B116"/>
      <c r="C116"/>
    </row>
    <row r="117" spans="2:3">
      <c r="B117"/>
      <c r="C117"/>
    </row>
    <row r="118" spans="2:3">
      <c r="B118"/>
      <c r="C118"/>
    </row>
    <row r="119" spans="2:3">
      <c r="B119"/>
      <c r="C119"/>
    </row>
    <row r="120" spans="2:3">
      <c r="B120"/>
      <c r="C120"/>
    </row>
    <row r="121" spans="2:3">
      <c r="B121"/>
      <c r="C121"/>
    </row>
    <row r="122" spans="2:3">
      <c r="B122"/>
      <c r="C122"/>
    </row>
    <row r="123" spans="2:3">
      <c r="B123"/>
      <c r="C123"/>
    </row>
    <row r="124" spans="2:3">
      <c r="B124"/>
      <c r="C124"/>
    </row>
    <row r="125" spans="2:3">
      <c r="B125"/>
      <c r="C125"/>
    </row>
    <row r="126" spans="2:3">
      <c r="B126"/>
      <c r="C126"/>
    </row>
    <row r="127" spans="2:3">
      <c r="B127"/>
      <c r="C127"/>
    </row>
    <row r="128" spans="2:3">
      <c r="B128"/>
      <c r="C128"/>
    </row>
    <row r="129" spans="2:3">
      <c r="B129"/>
      <c r="C129"/>
    </row>
    <row r="130" spans="2:3">
      <c r="B130"/>
      <c r="C130"/>
    </row>
    <row r="131" spans="2:3">
      <c r="B131"/>
      <c r="C131"/>
    </row>
    <row r="132" spans="2:3">
      <c r="B132"/>
      <c r="C132"/>
    </row>
    <row r="133" spans="2:3">
      <c r="B133"/>
      <c r="C133"/>
    </row>
    <row r="134" spans="2:3">
      <c r="B134"/>
      <c r="C134"/>
    </row>
    <row r="135" spans="2:3">
      <c r="B135"/>
      <c r="C135"/>
    </row>
    <row r="136" spans="2:3">
      <c r="B136"/>
      <c r="C136"/>
    </row>
    <row r="137" spans="2:3">
      <c r="B137"/>
      <c r="C137"/>
    </row>
    <row r="138" spans="2:3">
      <c r="B138"/>
      <c r="C138"/>
    </row>
    <row r="139" spans="2:3">
      <c r="B139"/>
      <c r="C139"/>
    </row>
    <row r="140" spans="2:3">
      <c r="B140"/>
      <c r="C140"/>
    </row>
    <row r="141" spans="2:3">
      <c r="B141"/>
      <c r="C141"/>
    </row>
    <row r="142" spans="2:3">
      <c r="B142"/>
      <c r="C142"/>
    </row>
    <row r="143" spans="2:3">
      <c r="B143"/>
      <c r="C143"/>
    </row>
    <row r="144" spans="2:3">
      <c r="B144"/>
      <c r="C144"/>
    </row>
    <row r="145" spans="2:3">
      <c r="B145"/>
      <c r="C145"/>
    </row>
    <row r="146" spans="2:3">
      <c r="B146"/>
      <c r="C146"/>
    </row>
    <row r="147" spans="2:3">
      <c r="B147"/>
      <c r="C147"/>
    </row>
    <row r="148" spans="2:3">
      <c r="B148"/>
      <c r="C148"/>
    </row>
    <row r="149" spans="2:3">
      <c r="B149"/>
      <c r="C149"/>
    </row>
    <row r="150" spans="2:3">
      <c r="B150"/>
      <c r="C150"/>
    </row>
    <row r="151" spans="2:3">
      <c r="B151"/>
      <c r="C151"/>
    </row>
    <row r="152" spans="2:3">
      <c r="B152"/>
      <c r="C152"/>
    </row>
    <row r="153" spans="2:3">
      <c r="B153"/>
      <c r="C153"/>
    </row>
    <row r="154" spans="2:3">
      <c r="B154"/>
      <c r="C154"/>
    </row>
    <row r="155" spans="2:3">
      <c r="B155"/>
      <c r="C155"/>
    </row>
    <row r="156" spans="2:3">
      <c r="B156"/>
      <c r="C156"/>
    </row>
    <row r="157" spans="2:3">
      <c r="B157"/>
      <c r="C157"/>
    </row>
    <row r="158" spans="2:3">
      <c r="B158"/>
      <c r="C158"/>
    </row>
    <row r="159" spans="2:3">
      <c r="B159"/>
      <c r="C159"/>
    </row>
    <row r="160" spans="2:3">
      <c r="B160"/>
      <c r="C160"/>
    </row>
    <row r="161" spans="2:3">
      <c r="B161"/>
      <c r="C161"/>
    </row>
    <row r="162" spans="2:3">
      <c r="B162"/>
      <c r="C162"/>
    </row>
    <row r="163" spans="2:3">
      <c r="B163"/>
      <c r="C163"/>
    </row>
    <row r="164" spans="2:3">
      <c r="B164"/>
      <c r="C164"/>
    </row>
    <row r="165" spans="2:3">
      <c r="B165"/>
      <c r="C165"/>
    </row>
    <row r="166" spans="2:3">
      <c r="B166"/>
      <c r="C166"/>
    </row>
    <row r="167" spans="2:3">
      <c r="B167"/>
      <c r="C167"/>
    </row>
    <row r="168" spans="2:3">
      <c r="B168"/>
      <c r="C168"/>
    </row>
    <row r="169" spans="2:3">
      <c r="B169"/>
      <c r="C169"/>
    </row>
    <row r="170" spans="2:3">
      <c r="B170"/>
      <c r="C170"/>
    </row>
    <row r="171" spans="2:3">
      <c r="B171"/>
      <c r="C171"/>
    </row>
    <row r="172" spans="2:3">
      <c r="B172"/>
      <c r="C172"/>
    </row>
    <row r="173" spans="2:3">
      <c r="B173"/>
      <c r="C173"/>
    </row>
    <row r="174" spans="2:3">
      <c r="B174"/>
      <c r="C174"/>
    </row>
    <row r="175" spans="2:3">
      <c r="B175"/>
      <c r="C175"/>
    </row>
    <row r="176" spans="2:3">
      <c r="B176"/>
      <c r="C176"/>
    </row>
    <row r="177" spans="2:3">
      <c r="B177"/>
      <c r="C177"/>
    </row>
    <row r="178" spans="2:3">
      <c r="B178"/>
      <c r="C178"/>
    </row>
    <row r="179" spans="2:3">
      <c r="B179"/>
      <c r="C179"/>
    </row>
    <row r="180" spans="2:3">
      <c r="B180"/>
      <c r="C180"/>
    </row>
    <row r="181" spans="2:3">
      <c r="B181"/>
      <c r="C181"/>
    </row>
    <row r="182" spans="2:3">
      <c r="B182"/>
      <c r="C182"/>
    </row>
    <row r="183" spans="2:3">
      <c r="B183"/>
      <c r="C183"/>
    </row>
    <row r="184" spans="2:3">
      <c r="B184"/>
      <c r="C184"/>
    </row>
    <row r="185" spans="2:3">
      <c r="B185"/>
      <c r="C185"/>
    </row>
    <row r="186" spans="2:3">
      <c r="B186"/>
      <c r="C186"/>
    </row>
    <row r="187" spans="2:3">
      <c r="B187"/>
      <c r="C187"/>
    </row>
    <row r="188" spans="2:3">
      <c r="B188"/>
      <c r="C188"/>
    </row>
    <row r="189" spans="2:3">
      <c r="B189"/>
      <c r="C189"/>
    </row>
    <row r="190" spans="2:3">
      <c r="B190"/>
      <c r="C190"/>
    </row>
    <row r="191" spans="2:3">
      <c r="B191"/>
      <c r="C191"/>
    </row>
    <row r="192" spans="2:3">
      <c r="B192"/>
      <c r="C192"/>
    </row>
    <row r="193" spans="2:3">
      <c r="B193"/>
      <c r="C193"/>
    </row>
    <row r="194" spans="2:3">
      <c r="B194"/>
      <c r="C194"/>
    </row>
    <row r="195" spans="2:3">
      <c r="B195"/>
      <c r="C195"/>
    </row>
    <row r="196" spans="2:3">
      <c r="B196"/>
      <c r="C196"/>
    </row>
    <row r="197" spans="2:3">
      <c r="B197"/>
      <c r="C197"/>
    </row>
    <row r="198" spans="2:3">
      <c r="B198"/>
      <c r="C198"/>
    </row>
    <row r="199" spans="2:3">
      <c r="B199"/>
      <c r="C199"/>
    </row>
    <row r="200" spans="2:3">
      <c r="B200"/>
      <c r="C200"/>
    </row>
    <row r="201" spans="2:3">
      <c r="B201"/>
      <c r="C201"/>
    </row>
    <row r="202" spans="2:3">
      <c r="B202"/>
      <c r="C202"/>
    </row>
    <row r="203" spans="2:3">
      <c r="B203"/>
      <c r="C203"/>
    </row>
    <row r="204" spans="2:3">
      <c r="B204"/>
      <c r="C204"/>
    </row>
    <row r="205" spans="2:3">
      <c r="B205"/>
      <c r="C205"/>
    </row>
    <row r="206" spans="2:3">
      <c r="B206"/>
      <c r="C206"/>
    </row>
    <row r="207" spans="2:3">
      <c r="B207"/>
      <c r="C207"/>
    </row>
    <row r="208" spans="2:3">
      <c r="B208"/>
      <c r="C208"/>
    </row>
    <row r="209" spans="2:3">
      <c r="B209"/>
      <c r="C209"/>
    </row>
    <row r="210" spans="2:3">
      <c r="B210"/>
      <c r="C210"/>
    </row>
    <row r="211" spans="2:3">
      <c r="B211"/>
      <c r="C211"/>
    </row>
    <row r="212" spans="2:3">
      <c r="B212"/>
      <c r="C212"/>
    </row>
    <row r="213" spans="2:3">
      <c r="B213"/>
      <c r="C213"/>
    </row>
    <row r="214" spans="2:3">
      <c r="B214"/>
      <c r="C214"/>
    </row>
    <row r="215" spans="2:3">
      <c r="B215"/>
      <c r="C215"/>
    </row>
    <row r="216" spans="2:3">
      <c r="B216"/>
      <c r="C216"/>
    </row>
    <row r="217" spans="2:3">
      <c r="B217"/>
      <c r="C217"/>
    </row>
    <row r="218" spans="2:3">
      <c r="B218"/>
      <c r="C218"/>
    </row>
    <row r="219" spans="2:3">
      <c r="B219"/>
      <c r="C219"/>
    </row>
    <row r="220" spans="2:3">
      <c r="B220"/>
      <c r="C220"/>
    </row>
    <row r="221" spans="2:3">
      <c r="B221"/>
      <c r="C221"/>
    </row>
    <row r="222" spans="2:3">
      <c r="B222"/>
      <c r="C222"/>
    </row>
    <row r="223" spans="2:3">
      <c r="B223"/>
      <c r="C223"/>
    </row>
    <row r="224" spans="2:3">
      <c r="B224"/>
      <c r="C224"/>
    </row>
    <row r="225" spans="2:3">
      <c r="B225"/>
      <c r="C225"/>
    </row>
    <row r="226" spans="2:3">
      <c r="B226"/>
      <c r="C226"/>
    </row>
    <row r="227" spans="2:3">
      <c r="B227"/>
      <c r="C227"/>
    </row>
    <row r="228" spans="2:3">
      <c r="B228"/>
      <c r="C228"/>
    </row>
    <row r="229" spans="2:3">
      <c r="B229"/>
      <c r="C229"/>
    </row>
    <row r="230" spans="2:3">
      <c r="B230"/>
      <c r="C230"/>
    </row>
    <row r="231" spans="2:3">
      <c r="B231"/>
      <c r="C231"/>
    </row>
    <row r="232" spans="2:3">
      <c r="B232"/>
      <c r="C232"/>
    </row>
    <row r="233" spans="2:3">
      <c r="B233"/>
      <c r="C233"/>
    </row>
    <row r="234" spans="2:3">
      <c r="B234"/>
      <c r="C234"/>
    </row>
    <row r="235" spans="2:3">
      <c r="B235"/>
      <c r="C235"/>
    </row>
    <row r="236" spans="2:3">
      <c r="B236"/>
      <c r="C236"/>
    </row>
    <row r="237" spans="2:3">
      <c r="B237"/>
      <c r="C237"/>
    </row>
    <row r="238" spans="2:3">
      <c r="B238"/>
      <c r="C238"/>
    </row>
    <row r="239" spans="2:3">
      <c r="B239"/>
      <c r="C239"/>
    </row>
    <row r="240" spans="2:3">
      <c r="B240"/>
      <c r="C240"/>
    </row>
    <row r="241" spans="2:3">
      <c r="B241"/>
      <c r="C241"/>
    </row>
    <row r="242" spans="2:3">
      <c r="B242"/>
      <c r="C242"/>
    </row>
    <row r="243" spans="2:3">
      <c r="B243"/>
      <c r="C243"/>
    </row>
    <row r="244" spans="2:3">
      <c r="B244"/>
      <c r="C244"/>
    </row>
    <row r="245" spans="2:3">
      <c r="B245"/>
      <c r="C245"/>
    </row>
    <row r="246" spans="2:3">
      <c r="B246"/>
      <c r="C246"/>
    </row>
    <row r="247" spans="2:3">
      <c r="B247"/>
      <c r="C247"/>
    </row>
    <row r="248" spans="2:3">
      <c r="B248"/>
      <c r="C248"/>
    </row>
    <row r="249" spans="2:3">
      <c r="B249"/>
      <c r="C249"/>
    </row>
    <row r="250" spans="2:3">
      <c r="B250"/>
      <c r="C250"/>
    </row>
    <row r="251" spans="2:3">
      <c r="B251"/>
      <c r="C251"/>
    </row>
    <row r="252" spans="2:3">
      <c r="B252"/>
      <c r="C252"/>
    </row>
    <row r="253" spans="2:3">
      <c r="B253"/>
      <c r="C253"/>
    </row>
    <row r="254" spans="2:3">
      <c r="B254"/>
      <c r="C254"/>
    </row>
    <row r="255" spans="2:3">
      <c r="B255"/>
      <c r="C255"/>
    </row>
    <row r="256" spans="2:3">
      <c r="B256"/>
      <c r="C256"/>
    </row>
    <row r="257" spans="2:3">
      <c r="B257"/>
      <c r="C257"/>
    </row>
    <row r="258" spans="2:3">
      <c r="B258"/>
      <c r="C258"/>
    </row>
    <row r="259" spans="2:3">
      <c r="B259"/>
      <c r="C259"/>
    </row>
    <row r="260" spans="2:3">
      <c r="B260"/>
      <c r="C260"/>
    </row>
    <row r="261" spans="2:3">
      <c r="B261"/>
      <c r="C261"/>
    </row>
    <row r="262" spans="2:3">
      <c r="B262"/>
      <c r="C262"/>
    </row>
    <row r="263" spans="2:3">
      <c r="B263"/>
      <c r="C263"/>
    </row>
    <row r="264" spans="2:3">
      <c r="B264"/>
      <c r="C264"/>
    </row>
    <row r="265" spans="2:3">
      <c r="B265"/>
      <c r="C265"/>
    </row>
    <row r="266" spans="2:3">
      <c r="B266"/>
      <c r="C266"/>
    </row>
    <row r="267" spans="2:3">
      <c r="B267"/>
      <c r="C267"/>
    </row>
    <row r="268" spans="2:3">
      <c r="B268"/>
      <c r="C268"/>
    </row>
    <row r="269" spans="2:3">
      <c r="B269"/>
      <c r="C269"/>
    </row>
    <row r="270" spans="2:3">
      <c r="B270"/>
      <c r="C270"/>
    </row>
    <row r="271" spans="2:3">
      <c r="B271"/>
      <c r="C271"/>
    </row>
    <row r="272" spans="2:3">
      <c r="B272"/>
      <c r="C272"/>
    </row>
    <row r="273" spans="2:3">
      <c r="B273"/>
      <c r="C273"/>
    </row>
    <row r="274" spans="2:3">
      <c r="B274"/>
      <c r="C274"/>
    </row>
    <row r="275" spans="2:3">
      <c r="B275"/>
      <c r="C275"/>
    </row>
    <row r="276" spans="2:3">
      <c r="B276"/>
      <c r="C276"/>
    </row>
    <row r="277" spans="2:3">
      <c r="B277"/>
      <c r="C277"/>
    </row>
    <row r="278" spans="2:3">
      <c r="B278"/>
      <c r="C278"/>
    </row>
    <row r="279" spans="2:3">
      <c r="B279"/>
      <c r="C279"/>
    </row>
    <row r="280" spans="2:3">
      <c r="B280"/>
      <c r="C280"/>
    </row>
    <row r="281" spans="2:3">
      <c r="B281"/>
      <c r="C281"/>
    </row>
    <row r="282" spans="2:3">
      <c r="B282"/>
      <c r="C282"/>
    </row>
    <row r="283" spans="2:3">
      <c r="B283"/>
      <c r="C283"/>
    </row>
    <row r="284" spans="2:3">
      <c r="B284"/>
      <c r="C284"/>
    </row>
    <row r="285" spans="2:3">
      <c r="B285"/>
      <c r="C285"/>
    </row>
    <row r="286" spans="2:3">
      <c r="B286"/>
      <c r="C286"/>
    </row>
    <row r="287" spans="2:3">
      <c r="B287"/>
      <c r="C287"/>
    </row>
    <row r="288" spans="2:3">
      <c r="B288"/>
      <c r="C288"/>
    </row>
    <row r="289" spans="2:3">
      <c r="B289"/>
      <c r="C289"/>
    </row>
    <row r="290" spans="2:3">
      <c r="B290"/>
      <c r="C290"/>
    </row>
    <row r="291" spans="2:3">
      <c r="B291"/>
      <c r="C291"/>
    </row>
    <row r="292" spans="2:3">
      <c r="B292"/>
      <c r="C292"/>
    </row>
    <row r="293" spans="2:3">
      <c r="B293"/>
      <c r="C293"/>
    </row>
    <row r="294" spans="2:3">
      <c r="B294"/>
      <c r="C294"/>
    </row>
    <row r="295" spans="2:3">
      <c r="B295"/>
      <c r="C295"/>
    </row>
    <row r="296" spans="2:3">
      <c r="B296"/>
      <c r="C296"/>
    </row>
    <row r="297" spans="2:3">
      <c r="B297"/>
      <c r="C297"/>
    </row>
    <row r="298" spans="2:3">
      <c r="B298"/>
      <c r="C298"/>
    </row>
    <row r="299" spans="2:3">
      <c r="B299"/>
      <c r="C299"/>
    </row>
    <row r="300" spans="2:3">
      <c r="B300"/>
      <c r="C300"/>
    </row>
    <row r="301" spans="2:3">
      <c r="B301"/>
      <c r="C301"/>
    </row>
    <row r="302" spans="2:3">
      <c r="B302"/>
      <c r="C302"/>
    </row>
    <row r="303" spans="2:3">
      <c r="B303"/>
      <c r="C303"/>
    </row>
    <row r="304" spans="2:3">
      <c r="B304"/>
      <c r="C304"/>
    </row>
    <row r="305" spans="2:3">
      <c r="B305"/>
      <c r="C305"/>
    </row>
    <row r="306" spans="2:3">
      <c r="B306"/>
      <c r="C306"/>
    </row>
    <row r="307" spans="2:3">
      <c r="B307"/>
      <c r="C307"/>
    </row>
    <row r="308" spans="2:3">
      <c r="B308"/>
      <c r="C308"/>
    </row>
    <row r="309" spans="2:3">
      <c r="B309"/>
      <c r="C309"/>
    </row>
    <row r="310" spans="2:3">
      <c r="B310"/>
      <c r="C310"/>
    </row>
    <row r="311" spans="2:3">
      <c r="B311"/>
      <c r="C311"/>
    </row>
    <row r="312" spans="2:3">
      <c r="B312"/>
      <c r="C312"/>
    </row>
    <row r="313" spans="2:3">
      <c r="B313"/>
      <c r="C313"/>
    </row>
    <row r="314" spans="2:3">
      <c r="B314"/>
      <c r="C314"/>
    </row>
    <row r="315" spans="2:3">
      <c r="B315"/>
      <c r="C315"/>
    </row>
    <row r="316" spans="2:3">
      <c r="B316"/>
      <c r="C316"/>
    </row>
    <row r="317" spans="2:3">
      <c r="B317"/>
      <c r="C317"/>
    </row>
    <row r="318" spans="2:3">
      <c r="B318"/>
      <c r="C318"/>
    </row>
    <row r="319" spans="2:3">
      <c r="B319"/>
      <c r="C319"/>
    </row>
    <row r="320" spans="2:3">
      <c r="B320"/>
      <c r="C320"/>
    </row>
    <row r="321" spans="2:3">
      <c r="B321"/>
      <c r="C321"/>
    </row>
    <row r="322" spans="2:3">
      <c r="B322"/>
      <c r="C322"/>
    </row>
    <row r="323" spans="2:3">
      <c r="B323"/>
      <c r="C323"/>
    </row>
    <row r="324" spans="2:3">
      <c r="B324"/>
      <c r="C324"/>
    </row>
    <row r="325" spans="2:3">
      <c r="B325"/>
      <c r="C325"/>
    </row>
    <row r="326" spans="2:3">
      <c r="B326"/>
      <c r="C326"/>
    </row>
    <row r="327" spans="2:3">
      <c r="B327"/>
      <c r="C327"/>
    </row>
    <row r="328" spans="2:3">
      <c r="B328"/>
      <c r="C328"/>
    </row>
    <row r="329" spans="2:3">
      <c r="B329"/>
      <c r="C329"/>
    </row>
    <row r="330" spans="2:3">
      <c r="B330"/>
      <c r="C330"/>
    </row>
    <row r="331" spans="2:3">
      <c r="B331"/>
      <c r="C331"/>
    </row>
    <row r="332" spans="2:3">
      <c r="B332"/>
      <c r="C332"/>
    </row>
    <row r="333" spans="2:3">
      <c r="B333"/>
      <c r="C333"/>
    </row>
    <row r="334" spans="2:3">
      <c r="B334"/>
      <c r="C334"/>
    </row>
    <row r="335" spans="2:3">
      <c r="B335"/>
      <c r="C335"/>
    </row>
    <row r="336" spans="2:3">
      <c r="B336"/>
      <c r="C336"/>
    </row>
    <row r="337" spans="2:3">
      <c r="B337"/>
      <c r="C337"/>
    </row>
    <row r="338" spans="2:3">
      <c r="B338"/>
      <c r="C338"/>
    </row>
    <row r="339" spans="2:3">
      <c r="B339"/>
      <c r="C339"/>
    </row>
    <row r="340" spans="2:3">
      <c r="B340"/>
      <c r="C340"/>
    </row>
    <row r="341" spans="2:3">
      <c r="B341"/>
      <c r="C341"/>
    </row>
    <row r="342" spans="2:3">
      <c r="B342"/>
      <c r="C342"/>
    </row>
    <row r="343" spans="2:3">
      <c r="B343"/>
      <c r="C343"/>
    </row>
    <row r="344" spans="2:3">
      <c r="B344"/>
      <c r="C344"/>
    </row>
    <row r="345" spans="2:3">
      <c r="B345"/>
      <c r="C345"/>
    </row>
    <row r="346" spans="2:3">
      <c r="B346"/>
      <c r="C346"/>
    </row>
    <row r="347" spans="2:3">
      <c r="B347"/>
      <c r="C347"/>
    </row>
    <row r="348" spans="2:3">
      <c r="B348"/>
      <c r="C348"/>
    </row>
    <row r="349" spans="2:3">
      <c r="B349"/>
      <c r="C349"/>
    </row>
    <row r="350" spans="2:3">
      <c r="B350"/>
      <c r="C350"/>
    </row>
    <row r="351" spans="2:3">
      <c r="B351"/>
      <c r="C351"/>
    </row>
    <row r="352" spans="2:3">
      <c r="B352"/>
      <c r="C352"/>
    </row>
    <row r="353" spans="2:3">
      <c r="B353"/>
      <c r="C353"/>
    </row>
    <row r="354" spans="2:3">
      <c r="B354"/>
      <c r="C354"/>
    </row>
    <row r="355" spans="2:3">
      <c r="B355"/>
      <c r="C355"/>
    </row>
    <row r="356" spans="2:3">
      <c r="B356"/>
      <c r="C356"/>
    </row>
    <row r="357" spans="2:3">
      <c r="B357"/>
      <c r="C357"/>
    </row>
    <row r="358" spans="2:3">
      <c r="B358"/>
      <c r="C358"/>
    </row>
    <row r="359" spans="2:3">
      <c r="B359"/>
      <c r="C359"/>
    </row>
    <row r="360" spans="2:3">
      <c r="B360"/>
      <c r="C360"/>
    </row>
    <row r="361" spans="2:3">
      <c r="B361"/>
      <c r="C361"/>
    </row>
    <row r="362" spans="2:3">
      <c r="B362"/>
      <c r="C362"/>
    </row>
    <row r="363" spans="2:3">
      <c r="B363"/>
      <c r="C363"/>
    </row>
    <row r="364" spans="2:3">
      <c r="B364"/>
      <c r="C364"/>
    </row>
    <row r="365" spans="2:3">
      <c r="B365"/>
      <c r="C365"/>
    </row>
    <row r="366" spans="2:3">
      <c r="B366"/>
      <c r="C366"/>
    </row>
    <row r="367" spans="2:3">
      <c r="B367"/>
      <c r="C367"/>
    </row>
    <row r="368" spans="2:3">
      <c r="B368"/>
      <c r="C368"/>
    </row>
    <row r="369" spans="2:3">
      <c r="B369"/>
      <c r="C369"/>
    </row>
    <row r="370" spans="2:3">
      <c r="B370"/>
      <c r="C370"/>
    </row>
    <row r="371" spans="2:3">
      <c r="B371"/>
      <c r="C371"/>
    </row>
    <row r="372" spans="2:3">
      <c r="B372"/>
      <c r="C372"/>
    </row>
    <row r="373" spans="2:3">
      <c r="B373"/>
      <c r="C373"/>
    </row>
    <row r="374" spans="2:3">
      <c r="B374"/>
      <c r="C374"/>
    </row>
    <row r="375" spans="2:3">
      <c r="B375"/>
      <c r="C375"/>
    </row>
    <row r="376" spans="2:3">
      <c r="B376"/>
      <c r="C376"/>
    </row>
    <row r="377" spans="2:3">
      <c r="B377"/>
      <c r="C377"/>
    </row>
    <row r="378" spans="2:3">
      <c r="B378"/>
      <c r="C378"/>
    </row>
    <row r="379" spans="2:3">
      <c r="B379"/>
      <c r="C379"/>
    </row>
    <row r="380" spans="2:3">
      <c r="B380"/>
      <c r="C380"/>
    </row>
    <row r="381" spans="2:3">
      <c r="B381"/>
      <c r="C381"/>
    </row>
    <row r="382" spans="2:3">
      <c r="B382"/>
      <c r="C382"/>
    </row>
    <row r="383" spans="2:3">
      <c r="B383"/>
      <c r="C383"/>
    </row>
    <row r="384" spans="2:3">
      <c r="B384"/>
      <c r="C384"/>
    </row>
    <row r="385" spans="2:3">
      <c r="B385"/>
      <c r="C385"/>
    </row>
    <row r="386" spans="2:3">
      <c r="B386"/>
      <c r="C386"/>
    </row>
    <row r="387" spans="2:3">
      <c r="B387"/>
      <c r="C387"/>
    </row>
    <row r="388" spans="2:3">
      <c r="B388"/>
      <c r="C388"/>
    </row>
    <row r="389" spans="2:3">
      <c r="B389"/>
      <c r="C389"/>
    </row>
    <row r="390" spans="2:3">
      <c r="B390"/>
      <c r="C390"/>
    </row>
    <row r="391" spans="2:3">
      <c r="B391"/>
      <c r="C391"/>
    </row>
    <row r="392" spans="2:3">
      <c r="B392"/>
      <c r="C392"/>
    </row>
    <row r="393" spans="2:3">
      <c r="B393"/>
      <c r="C393"/>
    </row>
    <row r="394" spans="2:3">
      <c r="B394"/>
      <c r="C394"/>
    </row>
    <row r="395" spans="2:3">
      <c r="B395"/>
      <c r="C395"/>
    </row>
    <row r="396" spans="2:3">
      <c r="B396"/>
      <c r="C396"/>
    </row>
    <row r="397" spans="2:3">
      <c r="B397"/>
      <c r="C397"/>
    </row>
    <row r="398" spans="2:3">
      <c r="B398"/>
      <c r="C398"/>
    </row>
    <row r="399" spans="2:3">
      <c r="B399"/>
      <c r="C399"/>
    </row>
    <row r="400" spans="2:3">
      <c r="B400"/>
      <c r="C400"/>
    </row>
    <row r="401" spans="2:3">
      <c r="B401"/>
      <c r="C401"/>
    </row>
    <row r="402" spans="2:3">
      <c r="B402"/>
      <c r="C402"/>
    </row>
    <row r="403" spans="2:3">
      <c r="B403"/>
      <c r="C403"/>
    </row>
    <row r="404" spans="2:3">
      <c r="B404"/>
      <c r="C404"/>
    </row>
    <row r="405" spans="2:3">
      <c r="B405"/>
      <c r="C405"/>
    </row>
    <row r="406" spans="2:3">
      <c r="B406"/>
      <c r="C406"/>
    </row>
    <row r="407" spans="2:3">
      <c r="B407"/>
      <c r="C407"/>
    </row>
    <row r="408" spans="2:3">
      <c r="B408"/>
      <c r="C408"/>
    </row>
    <row r="409" spans="2:3">
      <c r="B409"/>
      <c r="C409"/>
    </row>
    <row r="410" spans="2:3">
      <c r="B410"/>
      <c r="C410"/>
    </row>
    <row r="411" spans="2:3">
      <c r="B411"/>
      <c r="C411"/>
    </row>
    <row r="412" spans="2:3">
      <c r="B412"/>
      <c r="C412"/>
    </row>
    <row r="413" spans="2:3">
      <c r="B413"/>
      <c r="C413"/>
    </row>
    <row r="414" spans="2:3">
      <c r="B414"/>
      <c r="C414"/>
    </row>
    <row r="415" spans="2:3">
      <c r="B415"/>
      <c r="C415"/>
    </row>
    <row r="416" spans="2:3">
      <c r="B416"/>
      <c r="C416"/>
    </row>
    <row r="417" spans="2:3">
      <c r="B417"/>
      <c r="C417"/>
    </row>
    <row r="418" spans="2:3">
      <c r="B418"/>
      <c r="C418"/>
    </row>
    <row r="419" spans="2:3">
      <c r="B419"/>
      <c r="C419"/>
    </row>
    <row r="420" spans="2:3">
      <c r="B420"/>
      <c r="C420"/>
    </row>
    <row r="421" spans="2:3">
      <c r="B421"/>
      <c r="C421"/>
    </row>
    <row r="422" spans="2:3">
      <c r="B422"/>
      <c r="C422"/>
    </row>
    <row r="423" spans="2:3">
      <c r="B423"/>
      <c r="C423"/>
    </row>
    <row r="424" spans="2:3">
      <c r="B424"/>
      <c r="C424"/>
    </row>
    <row r="425" spans="2:3">
      <c r="B425"/>
      <c r="C425"/>
    </row>
    <row r="426" spans="2:3">
      <c r="B426"/>
      <c r="C426"/>
    </row>
    <row r="427" spans="2:3">
      <c r="B427"/>
      <c r="C427"/>
    </row>
    <row r="428" spans="2:3">
      <c r="B428"/>
      <c r="C428"/>
    </row>
    <row r="429" spans="2:3">
      <c r="B429"/>
      <c r="C429"/>
    </row>
    <row r="430" spans="2:3">
      <c r="B430"/>
      <c r="C430"/>
    </row>
    <row r="431" spans="2:3">
      <c r="B431"/>
      <c r="C431"/>
    </row>
    <row r="432" spans="2:3">
      <c r="B432"/>
      <c r="C432"/>
    </row>
    <row r="433" spans="2:3">
      <c r="B433"/>
      <c r="C433"/>
    </row>
    <row r="434" spans="2:3">
      <c r="B434"/>
      <c r="C434"/>
    </row>
    <row r="435" spans="2:3">
      <c r="B435"/>
      <c r="C435"/>
    </row>
    <row r="436" spans="2:3">
      <c r="B436"/>
      <c r="C436"/>
    </row>
    <row r="437" spans="2:3">
      <c r="B437"/>
      <c r="C437"/>
    </row>
    <row r="438" spans="2:3">
      <c r="B438"/>
      <c r="C438"/>
    </row>
    <row r="439" spans="2:3">
      <c r="B439"/>
      <c r="C439"/>
    </row>
    <row r="440" spans="2:3">
      <c r="B440"/>
      <c r="C440"/>
    </row>
    <row r="441" spans="2:3">
      <c r="B441"/>
      <c r="C441"/>
    </row>
    <row r="442" spans="2:3">
      <c r="B442"/>
      <c r="C442"/>
    </row>
    <row r="443" spans="2:3">
      <c r="B443"/>
      <c r="C443"/>
    </row>
    <row r="444" spans="2:3">
      <c r="B444"/>
      <c r="C444"/>
    </row>
    <row r="445" spans="2:3">
      <c r="B445"/>
      <c r="C445"/>
    </row>
    <row r="446" spans="2:3">
      <c r="B446"/>
      <c r="C446"/>
    </row>
    <row r="447" spans="2:3">
      <c r="B447"/>
      <c r="C447"/>
    </row>
    <row r="448" spans="2:3">
      <c r="B448"/>
      <c r="C448"/>
    </row>
    <row r="449" spans="2:3">
      <c r="B449"/>
      <c r="C449"/>
    </row>
    <row r="450" spans="2:3">
      <c r="B450"/>
      <c r="C450"/>
    </row>
    <row r="451" spans="2:3">
      <c r="B451"/>
      <c r="C451"/>
    </row>
    <row r="452" spans="2:3">
      <c r="B452"/>
      <c r="C452"/>
    </row>
    <row r="453" spans="2:3">
      <c r="B453"/>
      <c r="C453"/>
    </row>
    <row r="454" spans="2:3">
      <c r="B454"/>
      <c r="C454"/>
    </row>
    <row r="455" spans="2:3">
      <c r="B455"/>
      <c r="C455"/>
    </row>
    <row r="456" spans="2:3">
      <c r="B456"/>
      <c r="C456"/>
    </row>
    <row r="457" spans="2:3">
      <c r="B457"/>
      <c r="C457"/>
    </row>
    <row r="458" spans="2:3">
      <c r="B458"/>
      <c r="C458"/>
    </row>
    <row r="459" spans="2:3">
      <c r="B459"/>
      <c r="C459"/>
    </row>
    <row r="460" spans="2:3">
      <c r="B460"/>
      <c r="C460"/>
    </row>
    <row r="461" spans="2:3">
      <c r="B461"/>
      <c r="C461"/>
    </row>
    <row r="462" spans="2:3">
      <c r="B462"/>
      <c r="C462"/>
    </row>
    <row r="463" spans="2:3">
      <c r="B463"/>
      <c r="C463"/>
    </row>
    <row r="464" spans="2:3">
      <c r="B464"/>
      <c r="C464"/>
    </row>
    <row r="465" spans="2:3">
      <c r="B465"/>
      <c r="C465"/>
    </row>
    <row r="466" spans="2:3">
      <c r="B466"/>
      <c r="C466"/>
    </row>
    <row r="467" spans="2:3">
      <c r="B467"/>
      <c r="C467"/>
    </row>
    <row r="468" spans="2:3">
      <c r="B468"/>
      <c r="C468"/>
    </row>
    <row r="469" spans="2:3">
      <c r="B469"/>
      <c r="C469"/>
    </row>
    <row r="470" spans="2:3">
      <c r="B470"/>
      <c r="C470"/>
    </row>
    <row r="471" spans="2:3">
      <c r="B471"/>
      <c r="C471"/>
    </row>
    <row r="472" spans="2:3">
      <c r="B472"/>
      <c r="C472"/>
    </row>
    <row r="473" spans="2:3">
      <c r="B473"/>
      <c r="C473"/>
    </row>
    <row r="474" spans="2:3">
      <c r="B474"/>
      <c r="C474"/>
    </row>
    <row r="475" spans="2:3">
      <c r="B475"/>
      <c r="C475"/>
    </row>
    <row r="476" spans="2:3">
      <c r="B476"/>
      <c r="C476"/>
    </row>
    <row r="477" spans="2:3">
      <c r="B477"/>
      <c r="C477"/>
    </row>
    <row r="478" spans="2:3">
      <c r="B478"/>
      <c r="C478"/>
    </row>
    <row r="479" spans="2:3">
      <c r="B479"/>
      <c r="C479"/>
    </row>
    <row r="480" spans="2:3">
      <c r="B480"/>
      <c r="C480"/>
    </row>
    <row r="481" spans="2:3">
      <c r="B481"/>
      <c r="C481"/>
    </row>
    <row r="482" spans="2:3">
      <c r="B482"/>
      <c r="C482"/>
    </row>
    <row r="483" spans="2:3">
      <c r="B483"/>
      <c r="C483"/>
    </row>
    <row r="484" spans="2:3">
      <c r="B484"/>
      <c r="C484"/>
    </row>
    <row r="485" spans="2:3">
      <c r="B485"/>
      <c r="C485"/>
    </row>
    <row r="486" spans="2:3">
      <c r="B486"/>
      <c r="C486"/>
    </row>
    <row r="487" spans="2:3">
      <c r="B487"/>
      <c r="C487"/>
    </row>
    <row r="488" spans="2:3">
      <c r="B488"/>
      <c r="C488"/>
    </row>
    <row r="489" spans="2:3">
      <c r="B489"/>
      <c r="C489"/>
    </row>
    <row r="490" spans="2:3">
      <c r="B490"/>
      <c r="C490"/>
    </row>
    <row r="491" spans="2:3">
      <c r="B491"/>
      <c r="C491"/>
    </row>
    <row r="492" spans="2:3">
      <c r="B492"/>
      <c r="C492"/>
    </row>
    <row r="493" spans="2:3">
      <c r="B493"/>
      <c r="C493"/>
    </row>
    <row r="494" spans="2:3">
      <c r="B494"/>
      <c r="C494"/>
    </row>
    <row r="495" spans="2:3">
      <c r="B495"/>
      <c r="C495"/>
    </row>
    <row r="496" spans="2:3">
      <c r="B496"/>
      <c r="C496"/>
    </row>
    <row r="497" spans="2:3">
      <c r="B497"/>
      <c r="C497"/>
    </row>
    <row r="498" spans="2:3">
      <c r="B498"/>
      <c r="C498"/>
    </row>
    <row r="499" spans="2:3">
      <c r="B499"/>
      <c r="C499"/>
    </row>
    <row r="500" spans="2:3">
      <c r="B500"/>
      <c r="C500"/>
    </row>
    <row r="501" spans="2:3">
      <c r="B501"/>
      <c r="C501"/>
    </row>
    <row r="502" spans="2:3">
      <c r="B502"/>
      <c r="C502"/>
    </row>
    <row r="503" spans="2:3">
      <c r="B503"/>
      <c r="C503"/>
    </row>
    <row r="504" spans="2:3">
      <c r="B504"/>
      <c r="C504"/>
    </row>
    <row r="505" spans="2:3">
      <c r="B505"/>
      <c r="C505"/>
    </row>
    <row r="506" spans="2:3">
      <c r="B506"/>
      <c r="C506"/>
    </row>
    <row r="507" spans="2:3">
      <c r="B507"/>
      <c r="C507"/>
    </row>
    <row r="508" spans="2:3">
      <c r="B508"/>
      <c r="C508"/>
    </row>
    <row r="509" spans="2:3">
      <c r="B509"/>
      <c r="C509"/>
    </row>
    <row r="510" spans="2:3">
      <c r="B510"/>
      <c r="C510"/>
    </row>
    <row r="511" spans="2:3">
      <c r="B511"/>
      <c r="C511"/>
    </row>
    <row r="512" spans="2:3">
      <c r="B512"/>
      <c r="C512"/>
    </row>
    <row r="513" spans="2:3">
      <c r="B513"/>
      <c r="C513"/>
    </row>
    <row r="514" spans="2:3">
      <c r="B514"/>
      <c r="C514"/>
    </row>
    <row r="515" spans="2:3">
      <c r="B515"/>
      <c r="C515"/>
    </row>
    <row r="516" spans="2:3">
      <c r="B516"/>
      <c r="C516"/>
    </row>
    <row r="517" spans="2:3">
      <c r="B517"/>
      <c r="C517"/>
    </row>
    <row r="518" spans="2:3">
      <c r="B518"/>
      <c r="C518"/>
    </row>
    <row r="519" spans="2:3">
      <c r="B519"/>
      <c r="C519"/>
    </row>
    <row r="520" spans="2:3">
      <c r="B520"/>
      <c r="C520"/>
    </row>
    <row r="521" spans="2:3">
      <c r="B521"/>
      <c r="C521"/>
    </row>
    <row r="522" spans="2:3">
      <c r="B522"/>
      <c r="C522"/>
    </row>
    <row r="523" spans="2:3">
      <c r="B523"/>
      <c r="C523"/>
    </row>
    <row r="524" spans="2:3">
      <c r="B524"/>
      <c r="C524"/>
    </row>
    <row r="525" spans="2:3">
      <c r="B525"/>
      <c r="C525"/>
    </row>
    <row r="526" spans="2:3">
      <c r="B526"/>
      <c r="C526"/>
    </row>
    <row r="527" spans="2:3">
      <c r="B527"/>
      <c r="C527"/>
    </row>
    <row r="528" spans="2:3">
      <c r="B528"/>
      <c r="C528"/>
    </row>
    <row r="529" spans="2:3">
      <c r="B529"/>
      <c r="C529"/>
    </row>
    <row r="530" spans="2:3">
      <c r="B530"/>
      <c r="C530"/>
    </row>
    <row r="531" spans="2:3">
      <c r="B531"/>
      <c r="C531"/>
    </row>
    <row r="532" spans="2:3">
      <c r="B532"/>
      <c r="C532"/>
    </row>
    <row r="533" spans="2:3">
      <c r="B533"/>
      <c r="C533"/>
    </row>
    <row r="534" spans="2:3">
      <c r="B534"/>
      <c r="C534"/>
    </row>
    <row r="535" spans="2:3">
      <c r="B535"/>
      <c r="C535"/>
    </row>
    <row r="536" spans="2:3">
      <c r="B536"/>
      <c r="C536"/>
    </row>
    <row r="537" spans="2:3">
      <c r="B537"/>
      <c r="C537"/>
    </row>
    <row r="538" spans="2:3">
      <c r="B538"/>
      <c r="C538"/>
    </row>
    <row r="539" spans="2:3">
      <c r="B539"/>
      <c r="C539"/>
    </row>
    <row r="540" spans="2:3">
      <c r="B540"/>
      <c r="C540"/>
    </row>
    <row r="541" spans="2:3">
      <c r="B541"/>
      <c r="C541"/>
    </row>
    <row r="542" spans="2:3">
      <c r="B542"/>
      <c r="C542"/>
    </row>
    <row r="543" spans="2:3">
      <c r="B543"/>
      <c r="C543"/>
    </row>
    <row r="544" spans="2:3">
      <c r="B544"/>
      <c r="C544"/>
    </row>
    <row r="545" spans="2:3">
      <c r="B545"/>
      <c r="C545"/>
    </row>
    <row r="546" spans="2:3">
      <c r="B546"/>
      <c r="C546"/>
    </row>
    <row r="547" spans="2:3">
      <c r="B547"/>
      <c r="C547"/>
    </row>
    <row r="548" spans="2:3">
      <c r="B548"/>
      <c r="C548"/>
    </row>
    <row r="549" spans="2:3">
      <c r="B549"/>
      <c r="C549"/>
    </row>
    <row r="550" spans="2:3">
      <c r="B550"/>
      <c r="C550"/>
    </row>
    <row r="551" spans="2:3">
      <c r="B551"/>
      <c r="C551"/>
    </row>
    <row r="552" spans="2:3">
      <c r="B552"/>
      <c r="C552"/>
    </row>
    <row r="553" spans="2:3">
      <c r="B553"/>
      <c r="C553"/>
    </row>
    <row r="554" spans="2:3">
      <c r="B554"/>
      <c r="C554"/>
    </row>
    <row r="555" spans="2:3">
      <c r="B555"/>
      <c r="C555"/>
    </row>
    <row r="556" spans="2:3">
      <c r="B556"/>
      <c r="C556"/>
    </row>
    <row r="557" spans="2:3">
      <c r="B557"/>
      <c r="C557"/>
    </row>
    <row r="558" spans="2:3">
      <c r="B558"/>
      <c r="C558"/>
    </row>
    <row r="559" spans="2:3">
      <c r="B559"/>
      <c r="C559"/>
    </row>
    <row r="560" spans="2:3">
      <c r="B560"/>
      <c r="C560"/>
    </row>
    <row r="561" spans="2:3">
      <c r="B561"/>
      <c r="C561"/>
    </row>
    <row r="562" spans="2:3">
      <c r="B562"/>
      <c r="C562"/>
    </row>
    <row r="563" spans="2:3">
      <c r="B563"/>
      <c r="C563"/>
    </row>
    <row r="564" spans="2:3">
      <c r="B564"/>
      <c r="C564"/>
    </row>
    <row r="565" spans="2:3">
      <c r="B565"/>
      <c r="C565"/>
    </row>
    <row r="566" spans="2:3">
      <c r="B566"/>
      <c r="C566"/>
    </row>
    <row r="567" spans="2:3">
      <c r="B567"/>
      <c r="C567"/>
    </row>
    <row r="568" spans="2:3">
      <c r="B568"/>
      <c r="C568"/>
    </row>
    <row r="569" spans="2:3">
      <c r="B569"/>
      <c r="C569"/>
    </row>
    <row r="570" spans="2:3">
      <c r="B570"/>
      <c r="C570"/>
    </row>
    <row r="571" spans="2:3">
      <c r="B571"/>
      <c r="C571"/>
    </row>
    <row r="572" spans="2:3">
      <c r="B572"/>
      <c r="C572"/>
    </row>
    <row r="573" spans="2:3">
      <c r="B573"/>
      <c r="C573"/>
    </row>
    <row r="574" spans="2:3">
      <c r="B574"/>
      <c r="C574"/>
    </row>
    <row r="575" spans="2:3">
      <c r="B575"/>
      <c r="C575"/>
    </row>
    <row r="576" spans="2:3">
      <c r="B576"/>
      <c r="C576"/>
    </row>
    <row r="577" spans="2:3">
      <c r="B577"/>
      <c r="C577"/>
    </row>
    <row r="578" spans="2:3">
      <c r="B578"/>
      <c r="C578"/>
    </row>
    <row r="579" spans="2:3">
      <c r="B579"/>
      <c r="C579"/>
    </row>
    <row r="580" spans="2:3">
      <c r="B580"/>
      <c r="C580"/>
    </row>
    <row r="581" spans="2:3">
      <c r="B581"/>
      <c r="C581"/>
    </row>
    <row r="582" spans="2:3">
      <c r="B582"/>
      <c r="C582"/>
    </row>
    <row r="583" spans="2:3">
      <c r="B583"/>
      <c r="C583"/>
    </row>
    <row r="584" spans="2:3">
      <c r="B584"/>
      <c r="C584"/>
    </row>
    <row r="585" spans="2:3">
      <c r="B585"/>
      <c r="C585"/>
    </row>
    <row r="586" spans="2:3">
      <c r="B586"/>
      <c r="C586"/>
    </row>
    <row r="587" spans="2:3">
      <c r="B587"/>
      <c r="C587"/>
    </row>
    <row r="588" spans="2:3">
      <c r="B588"/>
      <c r="C588"/>
    </row>
    <row r="589" spans="2:3">
      <c r="B589"/>
      <c r="C589"/>
    </row>
    <row r="590" spans="2:3">
      <c r="B590"/>
      <c r="C590"/>
    </row>
    <row r="591" spans="2:3">
      <c r="B591"/>
      <c r="C591"/>
    </row>
    <row r="592" spans="2:3">
      <c r="B592"/>
      <c r="C592"/>
    </row>
    <row r="593" spans="2:3">
      <c r="B593"/>
      <c r="C593"/>
    </row>
    <row r="594" spans="2:3">
      <c r="B594"/>
      <c r="C594"/>
    </row>
    <row r="595" spans="2:3">
      <c r="B595"/>
      <c r="C595"/>
    </row>
    <row r="596" spans="2:3">
      <c r="B596"/>
      <c r="C596"/>
    </row>
    <row r="597" spans="2:3">
      <c r="B597"/>
      <c r="C597"/>
    </row>
    <row r="598" spans="2:3">
      <c r="B598"/>
      <c r="C598"/>
    </row>
    <row r="599" spans="2:3">
      <c r="B599"/>
      <c r="C599"/>
    </row>
    <row r="600" spans="2:3">
      <c r="B600"/>
      <c r="C600"/>
    </row>
    <row r="601" spans="2:3">
      <c r="B601"/>
      <c r="C601"/>
    </row>
    <row r="602" spans="2:3">
      <c r="B602"/>
      <c r="C602"/>
    </row>
    <row r="603" spans="2:3">
      <c r="B603"/>
      <c r="C603"/>
    </row>
    <row r="604" spans="2:3">
      <c r="B604"/>
      <c r="C604"/>
    </row>
    <row r="605" spans="2:3">
      <c r="B605"/>
      <c r="C605"/>
    </row>
    <row r="606" spans="2:3">
      <c r="B606"/>
      <c r="C606"/>
    </row>
    <row r="607" spans="2:3">
      <c r="B607"/>
      <c r="C607"/>
    </row>
    <row r="608" spans="2:3">
      <c r="B608"/>
      <c r="C608"/>
    </row>
    <row r="609" spans="2:3">
      <c r="B609"/>
      <c r="C609"/>
    </row>
    <row r="610" spans="2:3">
      <c r="B610"/>
      <c r="C610"/>
    </row>
    <row r="611" spans="2:3">
      <c r="B611"/>
      <c r="C611"/>
    </row>
    <row r="612" spans="2:3">
      <c r="B612"/>
      <c r="C612"/>
    </row>
    <row r="613" spans="2:3">
      <c r="B613"/>
      <c r="C613"/>
    </row>
    <row r="614" spans="2:3">
      <c r="B614"/>
      <c r="C614"/>
    </row>
    <row r="615" spans="2:3">
      <c r="B615"/>
      <c r="C615"/>
    </row>
    <row r="616" spans="2:3">
      <c r="B616"/>
      <c r="C616"/>
    </row>
    <row r="617" spans="2:3">
      <c r="B617"/>
      <c r="C617"/>
    </row>
    <row r="618" spans="2:3">
      <c r="B618"/>
      <c r="C618"/>
    </row>
    <row r="619" spans="2:3">
      <c r="B619"/>
      <c r="C619"/>
    </row>
    <row r="620" spans="2:3">
      <c r="B620"/>
      <c r="C620"/>
    </row>
    <row r="621" spans="2:3">
      <c r="B621"/>
      <c r="C621"/>
    </row>
    <row r="622" spans="2:3">
      <c r="B622"/>
      <c r="C622"/>
    </row>
    <row r="623" spans="2:3">
      <c r="B623"/>
      <c r="C623"/>
    </row>
    <row r="624" spans="2:3">
      <c r="B624"/>
      <c r="C624"/>
    </row>
    <row r="625" spans="2:3">
      <c r="B625"/>
      <c r="C625"/>
    </row>
    <row r="626" spans="2:3">
      <c r="B626"/>
      <c r="C626"/>
    </row>
    <row r="627" spans="2:3">
      <c r="B627"/>
      <c r="C627"/>
    </row>
    <row r="628" spans="2:3">
      <c r="B628"/>
      <c r="C628"/>
    </row>
    <row r="629" spans="2:3">
      <c r="B629"/>
      <c r="C629"/>
    </row>
    <row r="630" spans="2:3">
      <c r="B630"/>
      <c r="C630"/>
    </row>
    <row r="631" spans="2:3">
      <c r="B631"/>
      <c r="C631"/>
    </row>
    <row r="632" spans="2:3">
      <c r="B632"/>
      <c r="C632"/>
    </row>
    <row r="633" spans="2:3">
      <c r="B633"/>
      <c r="C633"/>
    </row>
    <row r="634" spans="2:3">
      <c r="B634"/>
      <c r="C634"/>
    </row>
    <row r="635" spans="2:3">
      <c r="B635"/>
      <c r="C635"/>
    </row>
    <row r="636" spans="2:3">
      <c r="B636"/>
      <c r="C636"/>
    </row>
    <row r="637" spans="2:3">
      <c r="B637"/>
      <c r="C637"/>
    </row>
    <row r="638" spans="2:3">
      <c r="B638"/>
      <c r="C638"/>
    </row>
    <row r="639" spans="2:3">
      <c r="B639"/>
      <c r="C639"/>
    </row>
    <row r="640" spans="2:3">
      <c r="B640"/>
      <c r="C640"/>
    </row>
    <row r="641" spans="2:3">
      <c r="B641"/>
      <c r="C641"/>
    </row>
    <row r="642" spans="2:3">
      <c r="B642"/>
      <c r="C642"/>
    </row>
    <row r="643" spans="2:3">
      <c r="B643"/>
      <c r="C643"/>
    </row>
    <row r="644" spans="2:3">
      <c r="B644"/>
      <c r="C644"/>
    </row>
    <row r="645" spans="2:3">
      <c r="B645"/>
      <c r="C645"/>
    </row>
    <row r="646" spans="2:3">
      <c r="B646"/>
      <c r="C64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H44"/>
  <sheetViews>
    <sheetView zoomScale="110" zoomScaleNormal="110" workbookViewId="0">
      <pane ySplit="1" topLeftCell="A2" activePane="bottomLeft" state="frozen"/>
      <selection pane="bottomLeft" activeCell="C9" sqref="C9"/>
    </sheetView>
  </sheetViews>
  <sheetFormatPr baseColWidth="10" defaultRowHeight="15"/>
  <cols>
    <col min="1" max="1" width="17.42578125" bestFit="1" customWidth="1"/>
    <col min="2" max="2" width="18.5703125" customWidth="1"/>
    <col min="3" max="3" width="15.140625" style="18" bestFit="1" customWidth="1"/>
    <col min="4" max="4" width="26.7109375" style="18" bestFit="1" customWidth="1"/>
    <col min="5" max="5" width="21.5703125" bestFit="1" customWidth="1"/>
    <col min="6" max="6" width="23.42578125" style="18" bestFit="1" customWidth="1"/>
    <col min="7" max="7" width="20.140625" bestFit="1" customWidth="1"/>
    <col min="8" max="8" width="22.5703125" bestFit="1" customWidth="1"/>
  </cols>
  <sheetData>
    <row r="1" spans="1:8" s="3" customFormat="1" ht="15.75">
      <c r="A1" s="16" t="s">
        <v>17</v>
      </c>
      <c r="B1" s="16" t="s">
        <v>18</v>
      </c>
      <c r="C1" s="17" t="s">
        <v>19</v>
      </c>
      <c r="D1" s="17" t="s">
        <v>20</v>
      </c>
      <c r="E1" s="16" t="s">
        <v>21</v>
      </c>
      <c r="F1" s="17" t="s">
        <v>22</v>
      </c>
      <c r="G1" s="16" t="s">
        <v>23</v>
      </c>
      <c r="H1" s="16" t="s">
        <v>15</v>
      </c>
    </row>
    <row r="2" spans="1:8">
      <c r="A2">
        <v>843950300</v>
      </c>
      <c r="B2" t="s">
        <v>24</v>
      </c>
      <c r="C2" s="18">
        <v>225000000</v>
      </c>
      <c r="D2" s="18">
        <v>207882990.87</v>
      </c>
      <c r="E2">
        <v>60</v>
      </c>
      <c r="F2" s="18">
        <v>180885479.44999999</v>
      </c>
      <c r="G2">
        <v>51</v>
      </c>
      <c r="H2" s="6">
        <v>45865</v>
      </c>
    </row>
    <row r="3" spans="1:8">
      <c r="A3">
        <v>66235635</v>
      </c>
      <c r="B3" t="s">
        <v>26</v>
      </c>
      <c r="C3" s="18">
        <v>380000000</v>
      </c>
      <c r="D3" s="18">
        <v>372083333.32999998</v>
      </c>
      <c r="E3">
        <v>60</v>
      </c>
      <c r="F3" s="18">
        <v>194668664.34</v>
      </c>
      <c r="G3">
        <v>49</v>
      </c>
      <c r="H3" s="6">
        <v>46160</v>
      </c>
    </row>
    <row r="4" spans="1:8">
      <c r="A4">
        <v>25912222</v>
      </c>
      <c r="B4" t="s">
        <v>27</v>
      </c>
      <c r="C4" s="18">
        <v>100000000</v>
      </c>
      <c r="D4" s="18">
        <v>0</v>
      </c>
      <c r="E4">
        <v>12</v>
      </c>
      <c r="F4" s="18">
        <v>0</v>
      </c>
      <c r="G4">
        <v>1</v>
      </c>
      <c r="H4" s="6">
        <v>45763</v>
      </c>
    </row>
    <row r="5" spans="1:8">
      <c r="A5">
        <v>27520596</v>
      </c>
      <c r="B5" t="s">
        <v>27</v>
      </c>
      <c r="C5" s="18">
        <v>230000000</v>
      </c>
      <c r="D5" s="18">
        <v>19166666.666700002</v>
      </c>
      <c r="E5">
        <v>12</v>
      </c>
      <c r="F5" s="18">
        <v>434958.61900000001</v>
      </c>
      <c r="G5">
        <v>1</v>
      </c>
      <c r="H5" s="6">
        <v>45837</v>
      </c>
    </row>
    <row r="6" spans="1:8">
      <c r="A6">
        <v>2537844</v>
      </c>
      <c r="B6" t="s">
        <v>29</v>
      </c>
      <c r="C6" s="18">
        <v>120000000</v>
      </c>
      <c r="D6" s="18">
        <v>82500000</v>
      </c>
      <c r="E6">
        <v>48</v>
      </c>
      <c r="F6" s="18">
        <v>35734930.027500004</v>
      </c>
      <c r="G6">
        <v>33</v>
      </c>
      <c r="H6" s="6">
        <v>45865</v>
      </c>
    </row>
    <row r="7" spans="1:8">
      <c r="A7">
        <v>347916</v>
      </c>
      <c r="B7" t="s">
        <v>30</v>
      </c>
      <c r="C7" s="18">
        <v>300000000</v>
      </c>
      <c r="D7" s="18">
        <v>268316631.29679999</v>
      </c>
      <c r="E7">
        <v>72</v>
      </c>
      <c r="F7" s="18">
        <v>221998973.3574</v>
      </c>
      <c r="G7">
        <v>60</v>
      </c>
      <c r="H7" s="6">
        <v>45865</v>
      </c>
    </row>
    <row r="8" spans="1:8">
      <c r="A8">
        <v>22901462</v>
      </c>
      <c r="B8" t="s">
        <v>26</v>
      </c>
      <c r="C8" s="18">
        <v>14300478</v>
      </c>
      <c r="D8" s="18">
        <v>0</v>
      </c>
      <c r="E8">
        <v>36</v>
      </c>
      <c r="F8" s="18">
        <v>0</v>
      </c>
      <c r="G8">
        <v>0</v>
      </c>
      <c r="H8" s="6">
        <v>45658</v>
      </c>
    </row>
    <row r="9" spans="1:8">
      <c r="A9">
        <v>65210751</v>
      </c>
      <c r="B9" t="s">
        <v>26</v>
      </c>
      <c r="C9" s="18">
        <v>430000000</v>
      </c>
      <c r="D9" s="18">
        <v>421041666.50999999</v>
      </c>
      <c r="E9">
        <v>60</v>
      </c>
      <c r="F9" s="18">
        <v>220730879.05000001</v>
      </c>
      <c r="G9">
        <v>46</v>
      </c>
      <c r="H9" s="6">
        <v>45932</v>
      </c>
    </row>
    <row r="10" spans="1:8">
      <c r="A10">
        <v>23430</v>
      </c>
      <c r="B10" t="s">
        <v>31</v>
      </c>
      <c r="C10" s="18">
        <v>126000000</v>
      </c>
      <c r="D10" s="18">
        <v>126000000</v>
      </c>
      <c r="E10">
        <v>84</v>
      </c>
      <c r="F10" s="18">
        <v>212723478.66999999</v>
      </c>
      <c r="G10">
        <v>75</v>
      </c>
      <c r="H10" s="6">
        <v>45827</v>
      </c>
    </row>
    <row r="11" spans="1:8">
      <c r="A11">
        <v>23467</v>
      </c>
      <c r="B11" t="s">
        <v>31</v>
      </c>
      <c r="C11" s="18">
        <v>472500000</v>
      </c>
      <c r="D11" s="18">
        <v>472500000</v>
      </c>
      <c r="E11">
        <v>83</v>
      </c>
      <c r="F11" s="18">
        <v>663503024.27999997</v>
      </c>
      <c r="G11">
        <v>75</v>
      </c>
      <c r="H11" s="6">
        <v>45827</v>
      </c>
    </row>
    <row r="12" spans="1:8">
      <c r="A12">
        <v>75472831</v>
      </c>
      <c r="B12" t="s">
        <v>26</v>
      </c>
      <c r="C12" s="18">
        <v>100000000</v>
      </c>
      <c r="D12" s="18">
        <v>99999999.840000004</v>
      </c>
      <c r="E12">
        <v>60</v>
      </c>
      <c r="F12" s="18">
        <v>76098630.230000004</v>
      </c>
      <c r="G12">
        <v>52</v>
      </c>
      <c r="H12" s="6">
        <v>46057</v>
      </c>
    </row>
    <row r="13" spans="1:8">
      <c r="A13">
        <v>119980</v>
      </c>
      <c r="B13" t="s">
        <v>26</v>
      </c>
      <c r="C13" s="18">
        <v>680000000</v>
      </c>
      <c r="D13" s="18">
        <v>665833333.33000004</v>
      </c>
      <c r="E13">
        <v>60</v>
      </c>
      <c r="F13" s="18">
        <v>534846392.56</v>
      </c>
      <c r="G13">
        <v>53</v>
      </c>
      <c r="H13" s="6">
        <v>45842</v>
      </c>
    </row>
    <row r="14" spans="1:8">
      <c r="A14">
        <v>927328</v>
      </c>
      <c r="B14" t="s">
        <v>32</v>
      </c>
      <c r="C14" s="18">
        <v>435000000</v>
      </c>
      <c r="D14" s="18">
        <v>406980453.78570002</v>
      </c>
      <c r="E14">
        <v>60</v>
      </c>
      <c r="F14" s="18">
        <v>323484402.61330003</v>
      </c>
      <c r="G14">
        <v>52</v>
      </c>
      <c r="H14" s="6">
        <v>45855</v>
      </c>
    </row>
    <row r="15" spans="1:8">
      <c r="A15">
        <v>30065708</v>
      </c>
      <c r="B15" t="s">
        <v>27</v>
      </c>
      <c r="C15" s="18">
        <v>155000000</v>
      </c>
      <c r="D15" s="18">
        <v>64583333.299999997</v>
      </c>
      <c r="E15">
        <v>12</v>
      </c>
      <c r="F15" s="18">
        <v>5664931.4982000003</v>
      </c>
      <c r="G15">
        <v>5</v>
      </c>
      <c r="H15" s="6">
        <v>45852</v>
      </c>
    </row>
    <row r="16" spans="1:8">
      <c r="A16">
        <v>28343183</v>
      </c>
      <c r="B16" t="s">
        <v>27</v>
      </c>
      <c r="C16" s="18">
        <v>200000000</v>
      </c>
      <c r="D16" s="18">
        <v>88888888.879999995</v>
      </c>
      <c r="E16">
        <v>18</v>
      </c>
      <c r="F16" s="18">
        <v>10999942.7368</v>
      </c>
      <c r="G16">
        <v>8</v>
      </c>
      <c r="H16" s="6">
        <v>45854</v>
      </c>
    </row>
    <row r="17" spans="1:8">
      <c r="A17">
        <v>1725053</v>
      </c>
      <c r="B17" t="s">
        <v>33</v>
      </c>
      <c r="C17" s="18">
        <v>45000000</v>
      </c>
      <c r="D17" s="18">
        <v>9608529.3100000005</v>
      </c>
      <c r="E17">
        <v>5</v>
      </c>
      <c r="F17" s="18">
        <v>269302.07</v>
      </c>
      <c r="G17">
        <v>1</v>
      </c>
      <c r="H17" s="6">
        <v>45818</v>
      </c>
    </row>
    <row r="18" spans="1:8">
      <c r="A18">
        <v>863502400</v>
      </c>
      <c r="B18" t="s">
        <v>24</v>
      </c>
      <c r="C18" s="18">
        <v>290000000</v>
      </c>
      <c r="D18" s="18">
        <v>280162893.31999999</v>
      </c>
      <c r="E18">
        <v>60</v>
      </c>
      <c r="F18" s="18">
        <v>274397825.29000002</v>
      </c>
      <c r="G18">
        <v>54</v>
      </c>
      <c r="H18" s="6">
        <v>45855</v>
      </c>
    </row>
    <row r="19" spans="1:8">
      <c r="A19">
        <v>863502600</v>
      </c>
      <c r="B19" t="s">
        <v>24</v>
      </c>
      <c r="C19" s="18">
        <v>150000000</v>
      </c>
      <c r="D19" s="18">
        <v>143777823.21000001</v>
      </c>
      <c r="E19">
        <v>60</v>
      </c>
      <c r="F19" s="18">
        <v>136845865.65000001</v>
      </c>
      <c r="G19">
        <v>53</v>
      </c>
      <c r="H19" s="6">
        <v>45927</v>
      </c>
    </row>
    <row r="20" spans="1:8">
      <c r="A20">
        <v>394949</v>
      </c>
      <c r="B20" t="s">
        <v>30</v>
      </c>
      <c r="C20" s="18">
        <v>150000000</v>
      </c>
      <c r="D20" s="18">
        <v>145772397.40000001</v>
      </c>
      <c r="E20">
        <v>72</v>
      </c>
      <c r="F20" s="18">
        <v>178044544.69999999</v>
      </c>
      <c r="G20">
        <v>66</v>
      </c>
      <c r="H20" s="6">
        <v>45864</v>
      </c>
    </row>
    <row r="21" spans="1:8">
      <c r="A21">
        <v>31295</v>
      </c>
      <c r="B21" t="s">
        <v>35</v>
      </c>
      <c r="C21" s="18">
        <v>196000000</v>
      </c>
      <c r="D21" s="18">
        <v>196000000</v>
      </c>
      <c r="E21">
        <v>60</v>
      </c>
      <c r="F21" s="18">
        <v>188561011.24000001</v>
      </c>
      <c r="G21">
        <v>54</v>
      </c>
      <c r="H21" s="6">
        <v>45865</v>
      </c>
    </row>
    <row r="22" spans="1:8">
      <c r="A22">
        <v>22044</v>
      </c>
      <c r="B22" t="s">
        <v>31</v>
      </c>
      <c r="C22" s="18">
        <v>80225356</v>
      </c>
      <c r="D22" s="18">
        <v>71469002.261099994</v>
      </c>
      <c r="E22">
        <v>72</v>
      </c>
      <c r="F22" s="18">
        <v>70594885.982600003</v>
      </c>
      <c r="G22">
        <v>52</v>
      </c>
      <c r="H22" s="6">
        <v>45810</v>
      </c>
    </row>
    <row r="23" spans="1:8">
      <c r="A23">
        <v>20828</v>
      </c>
      <c r="B23" t="s">
        <v>31</v>
      </c>
      <c r="C23" s="18">
        <v>52379403</v>
      </c>
      <c r="D23" s="18">
        <v>43248938.145599999</v>
      </c>
      <c r="E23">
        <v>72</v>
      </c>
      <c r="F23" s="18">
        <v>35235204.980800003</v>
      </c>
      <c r="G23">
        <v>44</v>
      </c>
      <c r="H23" s="6">
        <v>45820</v>
      </c>
    </row>
    <row r="24" spans="1:8">
      <c r="A24">
        <v>20466</v>
      </c>
      <c r="B24" t="s">
        <v>31</v>
      </c>
      <c r="C24" s="18">
        <v>40000000</v>
      </c>
      <c r="D24" s="18">
        <v>31473896.4998</v>
      </c>
      <c r="E24">
        <v>72</v>
      </c>
      <c r="F24" s="18">
        <v>23012574.851599999</v>
      </c>
      <c r="G24">
        <v>40</v>
      </c>
      <c r="H24" s="6">
        <v>45838</v>
      </c>
    </row>
    <row r="25" spans="1:8">
      <c r="A25">
        <v>23700</v>
      </c>
      <c r="B25" t="s">
        <v>31</v>
      </c>
      <c r="C25" s="18">
        <v>500000000</v>
      </c>
      <c r="D25" s="18">
        <v>483458682.00999999</v>
      </c>
      <c r="E25">
        <v>36</v>
      </c>
      <c r="F25" s="18">
        <v>285685823.75</v>
      </c>
      <c r="G25">
        <v>34</v>
      </c>
      <c r="H25" s="6">
        <v>45815</v>
      </c>
    </row>
    <row r="26" spans="1:8">
      <c r="A26">
        <v>885417900</v>
      </c>
      <c r="B26" t="s">
        <v>24</v>
      </c>
      <c r="C26" s="18">
        <v>500000000</v>
      </c>
      <c r="D26" s="18">
        <v>416666666.667</v>
      </c>
      <c r="E26">
        <v>18</v>
      </c>
      <c r="F26" s="18">
        <v>120644963.8427</v>
      </c>
      <c r="G26">
        <v>15</v>
      </c>
      <c r="H26" s="6">
        <v>45866</v>
      </c>
    </row>
    <row r="27" spans="1:8">
      <c r="A27">
        <v>885417400</v>
      </c>
      <c r="B27" t="s">
        <v>24</v>
      </c>
      <c r="C27" s="18">
        <v>500000000</v>
      </c>
      <c r="D27" s="18">
        <v>416666666.667</v>
      </c>
      <c r="E27">
        <v>18</v>
      </c>
      <c r="F27" s="18">
        <v>120644963.8427</v>
      </c>
      <c r="G27">
        <v>15</v>
      </c>
      <c r="H27" s="6">
        <v>45863</v>
      </c>
    </row>
    <row r="28" spans="1:8">
      <c r="A28">
        <v>23790</v>
      </c>
      <c r="B28" t="s">
        <v>31</v>
      </c>
      <c r="C28" s="18">
        <v>500000000</v>
      </c>
      <c r="D28" s="18">
        <v>491812456.22140002</v>
      </c>
      <c r="E28">
        <v>36</v>
      </c>
      <c r="F28" s="18">
        <v>306020737.09189999</v>
      </c>
      <c r="G28">
        <v>35</v>
      </c>
      <c r="H28" s="6">
        <v>45825</v>
      </c>
    </row>
    <row r="29" spans="1:8">
      <c r="A29">
        <v>85223302</v>
      </c>
      <c r="B29" t="s">
        <v>36</v>
      </c>
      <c r="C29" s="18">
        <v>36299340</v>
      </c>
      <c r="D29" s="18">
        <v>36299340</v>
      </c>
      <c r="E29">
        <v>1</v>
      </c>
      <c r="F29" s="18">
        <v>438617.02500000002</v>
      </c>
      <c r="G29">
        <v>1</v>
      </c>
      <c r="H29" s="6">
        <v>45791</v>
      </c>
    </row>
    <row r="30" spans="1:8">
      <c r="A30">
        <v>23996</v>
      </c>
      <c r="B30" t="s">
        <v>31</v>
      </c>
      <c r="C30" s="18">
        <v>300000000</v>
      </c>
      <c r="D30" s="18">
        <v>300000000</v>
      </c>
      <c r="E30">
        <v>84</v>
      </c>
      <c r="F30" s="18">
        <v>560214224.24000001</v>
      </c>
      <c r="G30">
        <v>84</v>
      </c>
      <c r="H30" s="6">
        <v>45882</v>
      </c>
    </row>
    <row r="31" spans="1:8">
      <c r="A31">
        <v>24004</v>
      </c>
      <c r="B31" t="s">
        <v>31</v>
      </c>
      <c r="C31" s="18">
        <v>150000000</v>
      </c>
      <c r="D31" s="18">
        <v>150000000</v>
      </c>
      <c r="E31">
        <v>60</v>
      </c>
      <c r="F31" s="18">
        <v>196470575.08000001</v>
      </c>
      <c r="G31">
        <v>60</v>
      </c>
      <c r="H31" s="6">
        <v>45886</v>
      </c>
    </row>
    <row r="32" spans="1:8">
      <c r="A32">
        <v>24132</v>
      </c>
      <c r="B32" t="s">
        <v>31</v>
      </c>
      <c r="C32" s="18">
        <v>180000000</v>
      </c>
      <c r="D32" s="18">
        <v>180000000.00000006</v>
      </c>
      <c r="E32">
        <v>84</v>
      </c>
      <c r="F32" s="18">
        <v>444305068.88999999</v>
      </c>
      <c r="G32">
        <v>84</v>
      </c>
      <c r="H32" s="6">
        <v>45949</v>
      </c>
    </row>
    <row r="33" spans="1:8">
      <c r="A33">
        <v>24214</v>
      </c>
      <c r="B33" t="s">
        <v>31</v>
      </c>
      <c r="C33" s="18">
        <v>180000000</v>
      </c>
      <c r="D33" s="18">
        <v>180000000</v>
      </c>
      <c r="E33">
        <v>48</v>
      </c>
      <c r="F33" s="18">
        <v>314395139.46000004</v>
      </c>
      <c r="G33">
        <v>48</v>
      </c>
      <c r="H33" s="6">
        <v>45990</v>
      </c>
    </row>
    <row r="34" spans="1:8">
      <c r="A34">
        <v>170207</v>
      </c>
      <c r="B34" t="s">
        <v>30</v>
      </c>
      <c r="C34" s="18">
        <v>300000000</v>
      </c>
      <c r="D34" s="18">
        <v>0</v>
      </c>
      <c r="E34">
        <v>48</v>
      </c>
      <c r="F34" s="18">
        <v>0</v>
      </c>
      <c r="G34">
        <v>48</v>
      </c>
      <c r="H34" s="6">
        <v>45968</v>
      </c>
    </row>
    <row r="35" spans="1:8">
      <c r="A35">
        <v>933803600</v>
      </c>
      <c r="B35" t="s">
        <v>24</v>
      </c>
      <c r="C35" s="18">
        <v>500000000</v>
      </c>
      <c r="D35" s="18">
        <v>499999999.99999976</v>
      </c>
      <c r="E35">
        <v>18</v>
      </c>
      <c r="F35" s="18">
        <v>265091166.49999997</v>
      </c>
      <c r="G35">
        <v>18</v>
      </c>
      <c r="H35" s="6">
        <v>46019</v>
      </c>
    </row>
    <row r="36" spans="1:8">
      <c r="A36">
        <v>936549900</v>
      </c>
      <c r="B36" t="s">
        <v>24</v>
      </c>
      <c r="C36" s="18">
        <v>400000000</v>
      </c>
      <c r="D36" s="18">
        <v>399999999.99959999</v>
      </c>
      <c r="E36">
        <v>18</v>
      </c>
      <c r="F36" s="18">
        <v>241294927.00000006</v>
      </c>
      <c r="G36">
        <v>18</v>
      </c>
      <c r="H36" s="6">
        <v>45996</v>
      </c>
    </row>
    <row r="37" spans="1:8">
      <c r="A37">
        <v>36663680</v>
      </c>
      <c r="B37" t="s">
        <v>27</v>
      </c>
      <c r="C37" s="18">
        <v>500000000</v>
      </c>
      <c r="D37" s="18">
        <v>500000000.00040001</v>
      </c>
      <c r="E37">
        <v>12</v>
      </c>
      <c r="F37" s="18">
        <v>108708373.37797619</v>
      </c>
      <c r="G37">
        <v>12</v>
      </c>
      <c r="H37" s="6">
        <v>46013</v>
      </c>
    </row>
    <row r="38" spans="1:8">
      <c r="A38">
        <v>946100200</v>
      </c>
      <c r="B38" t="s">
        <v>24</v>
      </c>
      <c r="C38" s="18">
        <v>400000000</v>
      </c>
      <c r="D38" s="18">
        <v>400000000</v>
      </c>
      <c r="E38">
        <v>18</v>
      </c>
      <c r="F38" s="18">
        <v>123666208.86</v>
      </c>
      <c r="G38">
        <v>18</v>
      </c>
      <c r="H38" s="6">
        <v>46041</v>
      </c>
    </row>
    <row r="39" spans="1:8">
      <c r="A39">
        <v>945870600</v>
      </c>
      <c r="B39" t="s">
        <v>24</v>
      </c>
      <c r="C39" s="18">
        <v>500000000</v>
      </c>
      <c r="D39" s="18">
        <v>500000000</v>
      </c>
      <c r="E39">
        <v>18</v>
      </c>
      <c r="F39" s="18">
        <v>156822609.12</v>
      </c>
      <c r="G39">
        <v>18</v>
      </c>
      <c r="H39" s="6">
        <v>46041</v>
      </c>
    </row>
    <row r="40" spans="1:8">
      <c r="A40">
        <v>281431</v>
      </c>
      <c r="B40" t="s">
        <v>30</v>
      </c>
      <c r="C40" s="18">
        <v>200000000</v>
      </c>
      <c r="D40" s="18">
        <v>199999999.99939999</v>
      </c>
      <c r="E40">
        <v>60</v>
      </c>
      <c r="F40" s="18">
        <v>294376448.91210002</v>
      </c>
      <c r="G40">
        <v>60</v>
      </c>
      <c r="H40" s="6">
        <v>46038</v>
      </c>
    </row>
    <row r="41" spans="1:8">
      <c r="A41">
        <v>963148500</v>
      </c>
      <c r="B41" t="s">
        <v>24</v>
      </c>
      <c r="C41" s="18">
        <v>350000000</v>
      </c>
      <c r="D41" s="18">
        <v>350000000</v>
      </c>
      <c r="E41">
        <v>16</v>
      </c>
      <c r="F41" s="18">
        <v>94013350.969999999</v>
      </c>
      <c r="G41">
        <v>16</v>
      </c>
      <c r="H41" s="6">
        <v>46150</v>
      </c>
    </row>
    <row r="42" spans="1:8">
      <c r="A42">
        <v>292466</v>
      </c>
      <c r="B42" t="s">
        <v>30</v>
      </c>
      <c r="C42" s="18">
        <v>200000000</v>
      </c>
      <c r="D42" s="18">
        <v>200000000</v>
      </c>
      <c r="E42">
        <v>24</v>
      </c>
      <c r="F42" s="18">
        <v>84701254.590000004</v>
      </c>
      <c r="G42">
        <v>24</v>
      </c>
      <c r="H42" s="6">
        <v>46150</v>
      </c>
    </row>
    <row r="43" spans="1:8">
      <c r="A43">
        <v>28308295</v>
      </c>
      <c r="B43" t="s">
        <v>134</v>
      </c>
      <c r="C43" s="18">
        <v>400000000</v>
      </c>
      <c r="D43" s="18">
        <v>400000000</v>
      </c>
      <c r="E43">
        <v>24</v>
      </c>
      <c r="F43" s="18">
        <v>12333333.33333328</v>
      </c>
      <c r="G43">
        <v>24</v>
      </c>
      <c r="H43" s="6">
        <v>46137</v>
      </c>
    </row>
    <row r="44" spans="1:8">
      <c r="A44">
        <v>957186200</v>
      </c>
      <c r="B44" t="s">
        <v>24</v>
      </c>
      <c r="C44" s="18">
        <v>500000000</v>
      </c>
      <c r="D44" s="18">
        <v>500000000</v>
      </c>
      <c r="E44">
        <v>18</v>
      </c>
      <c r="F44" s="18">
        <v>16933333.333333235</v>
      </c>
      <c r="G44">
        <v>18</v>
      </c>
      <c r="H44" s="6">
        <v>46106</v>
      </c>
    </row>
  </sheetData>
  <autoFilter ref="A1:H29" xr:uid="{00000000-0009-0000-0000-000003000000}"/>
  <conditionalFormatting sqref="H2">
    <cfRule type="expression" dxfId="95" priority="7" stopIfTrue="1">
      <formula>($H2-TODAY())&lt;25</formula>
    </cfRule>
    <cfRule type="expression" dxfId="94" priority="8" stopIfTrue="1">
      <formula>($H2-TODAY())=4</formula>
    </cfRule>
    <cfRule type="expression" dxfId="93" priority="9" stopIfTrue="1">
      <formula>($H2&lt;TODAY())</formula>
    </cfRule>
  </conditionalFormatting>
  <conditionalFormatting sqref="H3">
    <cfRule type="expression" dxfId="92" priority="10" stopIfTrue="1">
      <formula>($H3-TODAY())&gt;25</formula>
    </cfRule>
    <cfRule type="expression" dxfId="91" priority="11" stopIfTrue="1">
      <formula>($H3-TODAY())=4</formula>
    </cfRule>
    <cfRule type="expression" dxfId="90" priority="12" stopIfTrue="1">
      <formula>($H3&lt;TODAY())</formula>
    </cfRule>
  </conditionalFormatting>
  <conditionalFormatting sqref="H4">
    <cfRule type="expression" dxfId="89" priority="13" stopIfTrue="1">
      <formula>($H4-TODAY())&gt;25</formula>
    </cfRule>
    <cfRule type="expression" dxfId="88" priority="14" stopIfTrue="1">
      <formula>($H4-TODAY())=4</formula>
    </cfRule>
    <cfRule type="expression" dxfId="87" priority="15" stopIfTrue="1">
      <formula>($H4&lt;TODAY())</formula>
    </cfRule>
  </conditionalFormatting>
  <conditionalFormatting sqref="H5">
    <cfRule type="expression" dxfId="86" priority="16" stopIfTrue="1">
      <formula>($H5-TODAY())&gt;25</formula>
    </cfRule>
    <cfRule type="expression" dxfId="85" priority="17" stopIfTrue="1">
      <formula>($H5-TODAY())=4</formula>
    </cfRule>
    <cfRule type="expression" dxfId="84" priority="18" stopIfTrue="1">
      <formula>($H5&lt;TODAY())</formula>
    </cfRule>
  </conditionalFormatting>
  <conditionalFormatting sqref="H6">
    <cfRule type="expression" dxfId="83" priority="22" stopIfTrue="1">
      <formula>($H6-TODAY())&gt;25</formula>
    </cfRule>
    <cfRule type="expression" dxfId="82" priority="23" stopIfTrue="1">
      <formula>($H6-TODAY())=4</formula>
    </cfRule>
    <cfRule type="expression" dxfId="81" priority="24" stopIfTrue="1">
      <formula>($H6&lt;TODAY())</formula>
    </cfRule>
  </conditionalFormatting>
  <conditionalFormatting sqref="H7">
    <cfRule type="expression" dxfId="80" priority="25" stopIfTrue="1">
      <formula>($H7-TODAY())&gt;25</formula>
    </cfRule>
    <cfRule type="expression" dxfId="79" priority="26" stopIfTrue="1">
      <formula>($H7-TODAY())=4</formula>
    </cfRule>
    <cfRule type="expression" dxfId="78" priority="27" stopIfTrue="1">
      <formula>($H7&lt;TODAY())</formula>
    </cfRule>
  </conditionalFormatting>
  <conditionalFormatting sqref="H8">
    <cfRule type="expression" dxfId="77" priority="28" stopIfTrue="1">
      <formula>($H8-TODAY())&gt;25</formula>
    </cfRule>
    <cfRule type="expression" dxfId="76" priority="29" stopIfTrue="1">
      <formula>($H8-TODAY())=4</formula>
    </cfRule>
    <cfRule type="expression" dxfId="75" priority="30" stopIfTrue="1">
      <formula>($H8&lt;TODAY())</formula>
    </cfRule>
  </conditionalFormatting>
  <conditionalFormatting sqref="H9">
    <cfRule type="expression" dxfId="74" priority="31" stopIfTrue="1">
      <formula>($H9-TODAY())&gt;25</formula>
    </cfRule>
    <cfRule type="expression" dxfId="73" priority="32" stopIfTrue="1">
      <formula>($H9-TODAY())=4</formula>
    </cfRule>
    <cfRule type="expression" dxfId="72" priority="33" stopIfTrue="1">
      <formula>($H9&lt;TODAY())</formula>
    </cfRule>
  </conditionalFormatting>
  <conditionalFormatting sqref="H10">
    <cfRule type="expression" dxfId="71" priority="34" stopIfTrue="1">
      <formula>($H10-TODAY())&gt;25</formula>
    </cfRule>
    <cfRule type="expression" dxfId="70" priority="35" stopIfTrue="1">
      <formula>($H10-TODAY())=4</formula>
    </cfRule>
    <cfRule type="expression" dxfId="69" priority="36" stopIfTrue="1">
      <formula>($H10&lt;TODAY())</formula>
    </cfRule>
  </conditionalFormatting>
  <conditionalFormatting sqref="H11">
    <cfRule type="expression" dxfId="68" priority="37" stopIfTrue="1">
      <formula>($H11-TODAY())&gt;25</formula>
    </cfRule>
    <cfRule type="expression" dxfId="67" priority="38" stopIfTrue="1">
      <formula>($H11-TODAY())=4</formula>
    </cfRule>
    <cfRule type="expression" dxfId="66" priority="39" stopIfTrue="1">
      <formula>($H11&lt;TODAY())</formula>
    </cfRule>
  </conditionalFormatting>
  <conditionalFormatting sqref="H12">
    <cfRule type="expression" dxfId="65" priority="40" stopIfTrue="1">
      <formula>($H12-TODAY())=4</formula>
    </cfRule>
    <cfRule type="expression" dxfId="64" priority="41" stopIfTrue="1">
      <formula>($H12&lt;TODAY())</formula>
    </cfRule>
  </conditionalFormatting>
  <conditionalFormatting sqref="H13">
    <cfRule type="expression" dxfId="63" priority="42" stopIfTrue="1">
      <formula>($H13-TODAY())=4</formula>
    </cfRule>
    <cfRule type="expression" dxfId="62" priority="43" stopIfTrue="1">
      <formula>($H13&lt;TODAY())</formula>
    </cfRule>
  </conditionalFormatting>
  <conditionalFormatting sqref="H14">
    <cfRule type="expression" dxfId="61" priority="44" stopIfTrue="1">
      <formula>($H14-TODAY())=4</formula>
    </cfRule>
    <cfRule type="expression" dxfId="60" priority="45" stopIfTrue="1">
      <formula>($H14&lt;TODAY())</formula>
    </cfRule>
  </conditionalFormatting>
  <conditionalFormatting sqref="H15">
    <cfRule type="expression" dxfId="59" priority="46" stopIfTrue="1">
      <formula>($H15-TODAY())=4</formula>
    </cfRule>
    <cfRule type="expression" dxfId="58" priority="47" stopIfTrue="1">
      <formula>($H15&lt;TODAY())</formula>
    </cfRule>
  </conditionalFormatting>
  <conditionalFormatting sqref="H16">
    <cfRule type="expression" dxfId="57" priority="50" stopIfTrue="1">
      <formula>($H16-TODAY())=4</formula>
    </cfRule>
    <cfRule type="expression" dxfId="56" priority="51" stopIfTrue="1">
      <formula>($H16&lt;TODAY())</formula>
    </cfRule>
  </conditionalFormatting>
  <conditionalFormatting sqref="H17">
    <cfRule type="expression" dxfId="55" priority="52" stopIfTrue="1">
      <formula>($H17-TODAY())=4</formula>
    </cfRule>
    <cfRule type="expression" dxfId="54" priority="53" stopIfTrue="1">
      <formula>($H17&lt;TODAY())</formula>
    </cfRule>
  </conditionalFormatting>
  <conditionalFormatting sqref="H18">
    <cfRule type="expression" dxfId="53" priority="54" stopIfTrue="1">
      <formula>($H18-TODAY())=4</formula>
    </cfRule>
    <cfRule type="expression" dxfId="52" priority="55" stopIfTrue="1">
      <formula>($H18&lt;TODAY())</formula>
    </cfRule>
  </conditionalFormatting>
  <conditionalFormatting sqref="H19">
    <cfRule type="expression" dxfId="51" priority="56" stopIfTrue="1">
      <formula>($H19-TODAY())=4</formula>
    </cfRule>
    <cfRule type="expression" dxfId="50" priority="57" stopIfTrue="1">
      <formula>($H19&lt;TODAY())</formula>
    </cfRule>
  </conditionalFormatting>
  <conditionalFormatting sqref="H20">
    <cfRule type="expression" dxfId="49" priority="60" stopIfTrue="1">
      <formula>($H20-TODAY())=4</formula>
    </cfRule>
  </conditionalFormatting>
  <conditionalFormatting sqref="H20">
    <cfRule type="expression" dxfId="48" priority="61" stopIfTrue="1">
      <formula>($H20&lt;TODAY())</formula>
    </cfRule>
  </conditionalFormatting>
  <conditionalFormatting sqref="H21">
    <cfRule type="expression" dxfId="47" priority="62" stopIfTrue="1">
      <formula>($H21-TODAY())=4</formula>
    </cfRule>
  </conditionalFormatting>
  <conditionalFormatting sqref="H21">
    <cfRule type="expression" dxfId="46" priority="63" stopIfTrue="1">
      <formula>($H21&lt;TODAY())</formula>
    </cfRule>
  </conditionalFormatting>
  <conditionalFormatting sqref="H22">
    <cfRule type="expression" dxfId="45" priority="64" stopIfTrue="1">
      <formula>($H22-TODAY())=4</formula>
    </cfRule>
  </conditionalFormatting>
  <conditionalFormatting sqref="H22">
    <cfRule type="expression" dxfId="44" priority="65" stopIfTrue="1">
      <formula>($H22&lt;TODAY())</formula>
    </cfRule>
  </conditionalFormatting>
  <conditionalFormatting sqref="H23">
    <cfRule type="expression" dxfId="43" priority="66" stopIfTrue="1">
      <formula>($H23-TODAY())=4</formula>
    </cfRule>
  </conditionalFormatting>
  <conditionalFormatting sqref="H23">
    <cfRule type="expression" dxfId="42" priority="67" stopIfTrue="1">
      <formula>($H23&lt;TODAY())</formula>
    </cfRule>
  </conditionalFormatting>
  <conditionalFormatting sqref="H24">
    <cfRule type="expression" dxfId="41" priority="68" stopIfTrue="1">
      <formula>($H24-TODAY())=4</formula>
    </cfRule>
  </conditionalFormatting>
  <conditionalFormatting sqref="H24">
    <cfRule type="expression" dxfId="40" priority="69" stopIfTrue="1">
      <formula>($H24&lt;TODAY())</formula>
    </cfRule>
  </conditionalFormatting>
  <conditionalFormatting sqref="H25">
    <cfRule type="expression" dxfId="39" priority="70" stopIfTrue="1">
      <formula>($H25-TODAY())=4</formula>
    </cfRule>
  </conditionalFormatting>
  <conditionalFormatting sqref="H25">
    <cfRule type="expression" dxfId="38" priority="71" stopIfTrue="1">
      <formula>($H25&lt;TODAY())</formula>
    </cfRule>
  </conditionalFormatting>
  <conditionalFormatting sqref="H26">
    <cfRule type="expression" dxfId="37" priority="72" stopIfTrue="1">
      <formula>($H26-TODAY())=4</formula>
    </cfRule>
  </conditionalFormatting>
  <conditionalFormatting sqref="H26">
    <cfRule type="expression" dxfId="36" priority="73" stopIfTrue="1">
      <formula>($H26&lt;TODAY())</formula>
    </cfRule>
  </conditionalFormatting>
  <conditionalFormatting sqref="H27">
    <cfRule type="expression" dxfId="35" priority="74" stopIfTrue="1">
      <formula>($H27-TODAY())=4</formula>
    </cfRule>
  </conditionalFormatting>
  <conditionalFormatting sqref="H27">
    <cfRule type="expression" dxfId="34" priority="75" stopIfTrue="1">
      <formula>($H27&lt;TODAY())</formula>
    </cfRule>
  </conditionalFormatting>
  <conditionalFormatting sqref="H28">
    <cfRule type="expression" dxfId="33" priority="76" stopIfTrue="1">
      <formula>($H28-TODAY())=4</formula>
    </cfRule>
  </conditionalFormatting>
  <conditionalFormatting sqref="H28">
    <cfRule type="expression" dxfId="32" priority="77" stopIfTrue="1">
      <formula>($H28&lt;TODAY())</formula>
    </cfRule>
  </conditionalFormatting>
  <conditionalFormatting sqref="H29">
    <cfRule type="expression" dxfId="31" priority="78" stopIfTrue="1">
      <formula>($H29-TODAY())=4</formula>
    </cfRule>
  </conditionalFormatting>
  <conditionalFormatting sqref="H29">
    <cfRule type="expression" dxfId="30" priority="79" stopIfTrue="1">
      <formula>($H29&lt;TODAY())</formula>
    </cfRule>
  </conditionalFormatting>
  <conditionalFormatting sqref="H30">
    <cfRule type="expression" dxfId="29" priority="80" stopIfTrue="1">
      <formula>($H30-TODAY())=4</formula>
    </cfRule>
  </conditionalFormatting>
  <conditionalFormatting sqref="H30">
    <cfRule type="expression" dxfId="28" priority="81" stopIfTrue="1">
      <formula>($H30&lt;TODAY())</formula>
    </cfRule>
  </conditionalFormatting>
  <conditionalFormatting sqref="H31">
    <cfRule type="expression" dxfId="27" priority="82" stopIfTrue="1">
      <formula>($H31-TODAY())=4</formula>
    </cfRule>
  </conditionalFormatting>
  <conditionalFormatting sqref="H31">
    <cfRule type="expression" dxfId="26" priority="83" stopIfTrue="1">
      <formula>($H31&lt;TODAY())</formula>
    </cfRule>
  </conditionalFormatting>
  <conditionalFormatting sqref="H32">
    <cfRule type="expression" dxfId="25" priority="84" stopIfTrue="1">
      <formula>($H32-TODAY())=4</formula>
    </cfRule>
  </conditionalFormatting>
  <conditionalFormatting sqref="H32">
    <cfRule type="expression" dxfId="24" priority="85" stopIfTrue="1">
      <formula>($H32&lt;TODAY())</formula>
    </cfRule>
  </conditionalFormatting>
  <conditionalFormatting sqref="H33">
    <cfRule type="expression" dxfId="23" priority="86" stopIfTrue="1">
      <formula>($H33-TODAY())=4</formula>
    </cfRule>
  </conditionalFormatting>
  <conditionalFormatting sqref="H33">
    <cfRule type="expression" dxfId="22" priority="87" stopIfTrue="1">
      <formula>($H33&lt;TODAY())</formula>
    </cfRule>
  </conditionalFormatting>
  <conditionalFormatting sqref="H34">
    <cfRule type="expression" dxfId="21" priority="88" stopIfTrue="1">
      <formula>($H34-TODAY())=4</formula>
    </cfRule>
  </conditionalFormatting>
  <conditionalFormatting sqref="H34">
    <cfRule type="expression" dxfId="20" priority="89" stopIfTrue="1">
      <formula>($H34&lt;TODAY())</formula>
    </cfRule>
  </conditionalFormatting>
  <conditionalFormatting sqref="H35">
    <cfRule type="expression" dxfId="19" priority="90" stopIfTrue="1">
      <formula>($H35-TODAY())=4</formula>
    </cfRule>
  </conditionalFormatting>
  <conditionalFormatting sqref="H35">
    <cfRule type="expression" dxfId="18" priority="91" stopIfTrue="1">
      <formula>($H35&lt;TODAY())</formula>
    </cfRule>
  </conditionalFormatting>
  <conditionalFormatting sqref="H36">
    <cfRule type="expression" dxfId="17" priority="92" stopIfTrue="1">
      <formula>($H36-TODAY())=4</formula>
    </cfRule>
  </conditionalFormatting>
  <conditionalFormatting sqref="H36">
    <cfRule type="expression" dxfId="16" priority="93" stopIfTrue="1">
      <formula>($H36&lt;TODAY())</formula>
    </cfRule>
  </conditionalFormatting>
  <conditionalFormatting sqref="H37">
    <cfRule type="expression" dxfId="15" priority="94" stopIfTrue="1">
      <formula>($H37-TODAY())=4</formula>
    </cfRule>
  </conditionalFormatting>
  <conditionalFormatting sqref="H37">
    <cfRule type="expression" dxfId="14" priority="95" stopIfTrue="1">
      <formula>($H37&lt;TODAY())</formula>
    </cfRule>
  </conditionalFormatting>
  <conditionalFormatting sqref="H38">
    <cfRule type="expression" dxfId="13" priority="96" stopIfTrue="1">
      <formula>($H38-TODAY())=4</formula>
    </cfRule>
  </conditionalFormatting>
  <conditionalFormatting sqref="H38">
    <cfRule type="expression" dxfId="12" priority="97" stopIfTrue="1">
      <formula>($H38&lt;TODAY())</formula>
    </cfRule>
  </conditionalFormatting>
  <conditionalFormatting sqref="H39">
    <cfRule type="expression" dxfId="11" priority="98" stopIfTrue="1">
      <formula>($H39-TODAY())=4</formula>
    </cfRule>
  </conditionalFormatting>
  <conditionalFormatting sqref="H39">
    <cfRule type="expression" dxfId="10" priority="99" stopIfTrue="1">
      <formula>($H39&lt;TODAY())</formula>
    </cfRule>
  </conditionalFormatting>
  <conditionalFormatting sqref="H40">
    <cfRule type="expression" dxfId="9" priority="100" stopIfTrue="1">
      <formula>($H40-TODAY())=4</formula>
    </cfRule>
  </conditionalFormatting>
  <conditionalFormatting sqref="H40">
    <cfRule type="expression" dxfId="8" priority="101" stopIfTrue="1">
      <formula>($H40&lt;TODAY())</formula>
    </cfRule>
  </conditionalFormatting>
  <conditionalFormatting sqref="H41">
    <cfRule type="expression" dxfId="7" priority="102" stopIfTrue="1">
      <formula>($H41-TODAY())=4</formula>
    </cfRule>
  </conditionalFormatting>
  <conditionalFormatting sqref="H41">
    <cfRule type="expression" dxfId="6" priority="103" stopIfTrue="1">
      <formula>($H41&lt;TODAY())</formula>
    </cfRule>
  </conditionalFormatting>
  <conditionalFormatting sqref="H42">
    <cfRule type="expression" dxfId="5" priority="104" stopIfTrue="1">
      <formula>($H42-TODAY())=4</formula>
    </cfRule>
  </conditionalFormatting>
  <conditionalFormatting sqref="H42">
    <cfRule type="expression" dxfId="4" priority="105" stopIfTrue="1">
      <formula>($H42&lt;TODAY())</formula>
    </cfRule>
  </conditionalFormatting>
  <conditionalFormatting sqref="H43">
    <cfRule type="expression" dxfId="3" priority="106" stopIfTrue="1">
      <formula>($H43-TODAY())=4</formula>
    </cfRule>
  </conditionalFormatting>
  <conditionalFormatting sqref="H43">
    <cfRule type="expression" dxfId="2" priority="107" stopIfTrue="1">
      <formula>($H43&lt;TODAY())</formula>
    </cfRule>
  </conditionalFormatting>
  <conditionalFormatting sqref="H44">
    <cfRule type="expression" dxfId="1" priority="108" stopIfTrue="1">
      <formula>($H44-TODAY())=4</formula>
    </cfRule>
  </conditionalFormatting>
  <conditionalFormatting sqref="H44">
    <cfRule type="expression" dxfId="0" priority="109" stopIfTrue="1">
      <formula>($H44&lt;TODAY())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480F1-AB13-4F94-80B9-5AB29DEC4AC8}">
  <sheetPr codeName="Hoja8"/>
  <dimension ref="A1:E7"/>
  <sheetViews>
    <sheetView workbookViewId="0">
      <selection sqref="A1:E7"/>
    </sheetView>
  </sheetViews>
  <sheetFormatPr baseColWidth="10" defaultRowHeight="15"/>
  <sheetData>
    <row r="1" spans="1:5">
      <c r="A1" s="26">
        <v>14225206.390000001</v>
      </c>
      <c r="B1" s="8"/>
      <c r="C1" s="8">
        <v>13739786.92</v>
      </c>
      <c r="D1" s="8"/>
      <c r="E1" s="1"/>
    </row>
    <row r="2" spans="1:5">
      <c r="A2" s="8">
        <v>1308539.7300000004</v>
      </c>
      <c r="B2" s="8" t="s">
        <v>39</v>
      </c>
      <c r="C2" s="8">
        <v>2628675.8100000005</v>
      </c>
      <c r="D2" s="8" t="s">
        <v>39</v>
      </c>
      <c r="E2" s="1"/>
    </row>
    <row r="3" spans="1:5">
      <c r="A3" s="8">
        <v>1168339.0446428575</v>
      </c>
      <c r="B3" s="8" t="s">
        <v>40</v>
      </c>
      <c r="C3" s="8">
        <v>2347031.9732142859</v>
      </c>
      <c r="D3" s="8" t="s">
        <v>43</v>
      </c>
      <c r="E3" s="1"/>
    </row>
    <row r="4" spans="1:5">
      <c r="A4" s="8">
        <v>122675.59968750003</v>
      </c>
      <c r="B4" s="8" t="s">
        <v>41</v>
      </c>
      <c r="C4" s="8">
        <v>246438.35718750002</v>
      </c>
      <c r="D4" s="8" t="s">
        <v>44</v>
      </c>
      <c r="E4" s="1"/>
    </row>
    <row r="5" spans="1:5">
      <c r="A5" s="8">
        <v>17525.085669642864</v>
      </c>
      <c r="B5" s="1" t="s">
        <v>42</v>
      </c>
      <c r="C5" s="8">
        <v>35205.47959821429</v>
      </c>
      <c r="D5" s="8" t="s">
        <v>45</v>
      </c>
      <c r="E5" s="1" t="s">
        <v>46</v>
      </c>
    </row>
    <row r="6" spans="1:5">
      <c r="A6" s="8">
        <v>1308539.7300000002</v>
      </c>
      <c r="B6" s="8"/>
      <c r="C6" s="24">
        <v>281643.83678571432</v>
      </c>
      <c r="D6" s="8"/>
      <c r="E6" s="1"/>
    </row>
    <row r="7" spans="1:5">
      <c r="A7" s="8"/>
      <c r="B7" s="8"/>
      <c r="C7" s="8"/>
      <c r="D7" s="8"/>
      <c r="E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Seguimiento</vt:lpstr>
      <vt:lpstr>Cuotas</vt:lpstr>
      <vt:lpstr>Hoja1</vt:lpstr>
      <vt:lpstr>Detalle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Lobillo</dc:creator>
  <cp:lastModifiedBy>Usuario</cp:lastModifiedBy>
  <dcterms:created xsi:type="dcterms:W3CDTF">2024-10-03T18:22:00Z</dcterms:created>
  <dcterms:modified xsi:type="dcterms:W3CDTF">2026-05-05T19:21:54Z</dcterms:modified>
</cp:coreProperties>
</file>